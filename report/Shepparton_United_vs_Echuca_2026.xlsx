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here to Improve" sheetId="2" state="visible" r:id="rId4"/>
    <sheet name="League Per Game" sheetId="3" state="visible" r:id="rId5"/>
    <sheet name="League Season Totals" sheetId="4" state="visible" r:id="rId6"/>
    <sheet name="United Games For" sheetId="5" state="visible" r:id="rId7"/>
    <sheet name="United Games Against" sheetId="6" state="visible" r:id="rId8"/>
    <sheet name="United Games Diff" sheetId="7" state="visible" r:id="rId9"/>
    <sheet name="Echuca Games For" sheetId="8" state="visible" r:id="rId10"/>
    <sheet name="Echuca Games Against" sheetId="9" state="visible" r:id="rId11"/>
    <sheet name="Echuca Games Diff" sheetId="10" state="visible" r:id="rId12"/>
    <sheet name="United vs Each Opponent" sheetId="11" state="visible" r:id="rId13"/>
    <sheet name="Echuca vs Each Opponent" sheetId="12" state="visible" r:id="rId14"/>
    <sheet name="Season For v Against" sheetId="13" state="visible" r:id="rId15"/>
  </sheets>
  <definedNames>
    <definedName function="false" hidden="true" localSheetId="12" name="_xlnm._FilterDatabase" vbProcedure="false">'Season For v Against'!$A$4:$J$96</definedName>
    <definedName function="false" hidden="true" localSheetId="1" name="_xlnm._FilterDatabase" vbProcedure="false">'Where to Improve'!$A$5:$L$54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Editable. A gap bigger than this many standard deviations (the typical spread between the 12 clubs) is flagged as a priority.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Team</t>
        </r>
      </text>
    </comment>
    <comment ref="B4" authorId="0">
      <text>
        <r>
          <rPr>
            <sz val="10"/>
            <rFont val="Arial"/>
            <family val="2"/>
          </rPr>
          <t xml:space="preserve">Games</t>
        </r>
      </text>
    </comment>
    <comment ref="C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D4" authorId="0">
      <text>
        <r>
          <rPr>
            <sz val="10"/>
            <rFont val="Arial"/>
            <family val="2"/>
          </rPr>
          <t xml:space="preserve">Disposals</t>
        </r>
      </text>
    </comment>
    <comment ref="E4" authorId="0">
      <text>
        <r>
          <rPr>
            <sz val="10"/>
            <rFont val="Arial"/>
            <family val="2"/>
          </rPr>
          <t xml:space="preserve">Kicks</t>
        </r>
      </text>
    </comment>
    <comment ref="F4" authorId="0">
      <text>
        <r>
          <rPr>
            <sz val="10"/>
            <rFont val="Arial"/>
            <family val="2"/>
          </rPr>
          <t xml:space="preserve">Handballs</t>
        </r>
      </text>
    </comment>
    <comment ref="G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H4" authorId="0">
      <text>
        <r>
          <rPr>
            <sz val="10"/>
            <rFont val="Arial"/>
            <family val="2"/>
          </rPr>
          <t xml:space="preserve">Marks</t>
        </r>
      </text>
    </comment>
    <comment ref="I4" authorId="0">
      <text>
        <r>
          <rPr>
            <sz val="10"/>
            <rFont val="Arial"/>
            <family val="2"/>
          </rPr>
          <t xml:space="preserve">Clearances</t>
        </r>
      </text>
    </comment>
    <comment ref="J4" authorId="0">
      <text>
        <r>
          <rPr>
            <sz val="10"/>
            <rFont val="Arial"/>
            <family val="2"/>
          </rPr>
          <t xml:space="preserve">Inside 50s</t>
        </r>
      </text>
    </comment>
    <comment ref="K4" authorId="0">
      <text>
        <r>
          <rPr>
            <sz val="10"/>
            <rFont val="Arial"/>
            <family val="2"/>
          </rPr>
          <t xml:space="preserve">Goals</t>
        </r>
      </text>
    </comment>
    <comment ref="L4" authorId="0">
      <text>
        <r>
          <rPr>
            <sz val="10"/>
            <rFont val="Arial"/>
            <family val="2"/>
          </rPr>
          <t xml:space="preserve">Behinds</t>
        </r>
      </text>
    </comment>
    <comment ref="M4" authorId="0">
      <text>
        <r>
          <rPr>
            <sz val="10"/>
            <rFont val="Arial"/>
            <family val="2"/>
          </rPr>
          <t xml:space="preserve">Score involvements</t>
        </r>
      </text>
    </comment>
    <comment ref="N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O4" authorId="0">
      <text>
        <r>
          <rPr>
            <sz val="10"/>
            <rFont val="Arial"/>
            <family val="2"/>
          </rPr>
          <t xml:space="preserve">Tackles</t>
        </r>
      </text>
    </comment>
    <comment ref="P4" authorId="0">
      <text>
        <r>
          <rPr>
            <sz val="10"/>
            <rFont val="Arial"/>
            <family val="2"/>
          </rPr>
          <t xml:space="preserve">Hit outs</t>
        </r>
      </text>
    </comment>
    <comment ref="Q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R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S4" authorId="0">
      <text>
        <r>
          <rPr>
            <sz val="10"/>
            <rFont val="Arial"/>
            <family val="2"/>
          </rPr>
          <t xml:space="preserve">Hard ball gets</t>
        </r>
      </text>
    </comment>
    <comment ref="T4" authorId="0">
      <text>
        <r>
          <rPr>
            <sz val="10"/>
            <rFont val="Arial"/>
            <family val="2"/>
          </rPr>
          <t xml:space="preserve">Loose ball gets</t>
        </r>
      </text>
    </comment>
    <comment ref="U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V4" authorId="0">
      <text>
        <r>
          <rPr>
            <sz val="10"/>
            <rFont val="Arial"/>
            <family val="2"/>
          </rPr>
          <t xml:space="preserve">Contested marks</t>
        </r>
      </text>
    </comment>
    <comment ref="W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X4" authorId="0">
      <text>
        <r>
          <rPr>
            <sz val="10"/>
            <rFont val="Arial"/>
            <family val="2"/>
          </rPr>
          <t xml:space="preserve">Intercept marks</t>
        </r>
      </text>
    </comment>
    <comment ref="Y4" authorId="0">
      <text>
        <r>
          <rPr>
            <sz val="10"/>
            <rFont val="Arial"/>
            <family val="2"/>
          </rPr>
          <t xml:space="preserve">Marks inside 50</t>
        </r>
      </text>
    </comment>
    <comment ref="Z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AA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AB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C4" authorId="0">
      <text>
        <r>
          <rPr>
            <sz val="10"/>
            <rFont val="Arial"/>
            <family val="2"/>
          </rPr>
          <t xml:space="preserve">Rebound 50s</t>
        </r>
      </text>
    </comment>
    <comment ref="AD4" authorId="0">
      <text>
        <r>
          <rPr>
            <sz val="10"/>
            <rFont val="Arial"/>
            <family val="2"/>
          </rPr>
          <t xml:space="preserve">Frees for</t>
        </r>
      </text>
    </comment>
    <comment ref="AE4" authorId="0">
      <text>
        <r>
          <rPr>
            <sz val="10"/>
            <rFont val="Arial"/>
            <family val="2"/>
          </rPr>
          <t xml:space="preserve">Kick-ins</t>
        </r>
      </text>
    </comment>
    <comment ref="AF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GST (code not labelled by Premier Data)</t>
        </r>
      </text>
    </comment>
    <comment ref="AH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I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J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K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O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P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Q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R4" authorId="0">
      <text>
        <r>
          <rPr>
            <sz val="10"/>
            <rFont val="Arial"/>
            <family val="2"/>
          </rPr>
          <t xml:space="preserve">Goal assists</t>
        </r>
      </text>
    </comment>
    <comment ref="AS4" authorId="0">
      <text>
        <r>
          <rPr>
            <sz val="10"/>
            <rFont val="Arial"/>
            <family val="2"/>
          </rPr>
          <t xml:space="preserve">Goal accuracy %</t>
        </r>
      </text>
    </comment>
    <comment ref="AT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AU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AV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AW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AX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AY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Team</t>
        </r>
      </text>
    </comment>
    <comment ref="B4" authorId="0">
      <text>
        <r>
          <rPr>
            <sz val="10"/>
            <rFont val="Arial"/>
            <family val="2"/>
          </rPr>
          <t xml:space="preserve">Games</t>
        </r>
      </text>
    </comment>
    <comment ref="C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D4" authorId="0">
      <text>
        <r>
          <rPr>
            <sz val="10"/>
            <rFont val="Arial"/>
            <family val="2"/>
          </rPr>
          <t xml:space="preserve">Disposals</t>
        </r>
      </text>
    </comment>
    <comment ref="E4" authorId="0">
      <text>
        <r>
          <rPr>
            <sz val="10"/>
            <rFont val="Arial"/>
            <family val="2"/>
          </rPr>
          <t xml:space="preserve">Kicks</t>
        </r>
      </text>
    </comment>
    <comment ref="F4" authorId="0">
      <text>
        <r>
          <rPr>
            <sz val="10"/>
            <rFont val="Arial"/>
            <family val="2"/>
          </rPr>
          <t xml:space="preserve">Handballs</t>
        </r>
      </text>
    </comment>
    <comment ref="G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H4" authorId="0">
      <text>
        <r>
          <rPr>
            <sz val="10"/>
            <rFont val="Arial"/>
            <family val="2"/>
          </rPr>
          <t xml:space="preserve">Marks</t>
        </r>
      </text>
    </comment>
    <comment ref="I4" authorId="0">
      <text>
        <r>
          <rPr>
            <sz val="10"/>
            <rFont val="Arial"/>
            <family val="2"/>
          </rPr>
          <t xml:space="preserve">Clearances</t>
        </r>
      </text>
    </comment>
    <comment ref="J4" authorId="0">
      <text>
        <r>
          <rPr>
            <sz val="10"/>
            <rFont val="Arial"/>
            <family val="2"/>
          </rPr>
          <t xml:space="preserve">Inside 50s</t>
        </r>
      </text>
    </comment>
    <comment ref="K4" authorId="0">
      <text>
        <r>
          <rPr>
            <sz val="10"/>
            <rFont val="Arial"/>
            <family val="2"/>
          </rPr>
          <t xml:space="preserve">Goals</t>
        </r>
      </text>
    </comment>
    <comment ref="L4" authorId="0">
      <text>
        <r>
          <rPr>
            <sz val="10"/>
            <rFont val="Arial"/>
            <family val="2"/>
          </rPr>
          <t xml:space="preserve">Behinds</t>
        </r>
      </text>
    </comment>
    <comment ref="M4" authorId="0">
      <text>
        <r>
          <rPr>
            <sz val="10"/>
            <rFont val="Arial"/>
            <family val="2"/>
          </rPr>
          <t xml:space="preserve">Score involvements</t>
        </r>
      </text>
    </comment>
    <comment ref="N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O4" authorId="0">
      <text>
        <r>
          <rPr>
            <sz val="10"/>
            <rFont val="Arial"/>
            <family val="2"/>
          </rPr>
          <t xml:space="preserve">Tackles</t>
        </r>
      </text>
    </comment>
    <comment ref="P4" authorId="0">
      <text>
        <r>
          <rPr>
            <sz val="10"/>
            <rFont val="Arial"/>
            <family val="2"/>
          </rPr>
          <t xml:space="preserve">Hit outs</t>
        </r>
      </text>
    </comment>
    <comment ref="Q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R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S4" authorId="0">
      <text>
        <r>
          <rPr>
            <sz val="10"/>
            <rFont val="Arial"/>
            <family val="2"/>
          </rPr>
          <t xml:space="preserve">Hard ball gets</t>
        </r>
      </text>
    </comment>
    <comment ref="T4" authorId="0">
      <text>
        <r>
          <rPr>
            <sz val="10"/>
            <rFont val="Arial"/>
            <family val="2"/>
          </rPr>
          <t xml:space="preserve">Loose ball gets</t>
        </r>
      </text>
    </comment>
    <comment ref="U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V4" authorId="0">
      <text>
        <r>
          <rPr>
            <sz val="10"/>
            <rFont val="Arial"/>
            <family val="2"/>
          </rPr>
          <t xml:space="preserve">Contested marks</t>
        </r>
      </text>
    </comment>
    <comment ref="W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X4" authorId="0">
      <text>
        <r>
          <rPr>
            <sz val="10"/>
            <rFont val="Arial"/>
            <family val="2"/>
          </rPr>
          <t xml:space="preserve">Intercept marks</t>
        </r>
      </text>
    </comment>
    <comment ref="Y4" authorId="0">
      <text>
        <r>
          <rPr>
            <sz val="10"/>
            <rFont val="Arial"/>
            <family val="2"/>
          </rPr>
          <t xml:space="preserve">Marks inside 50</t>
        </r>
      </text>
    </comment>
    <comment ref="Z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AA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AB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C4" authorId="0">
      <text>
        <r>
          <rPr>
            <sz val="10"/>
            <rFont val="Arial"/>
            <family val="2"/>
          </rPr>
          <t xml:space="preserve">Rebound 50s</t>
        </r>
      </text>
    </comment>
    <comment ref="AD4" authorId="0">
      <text>
        <r>
          <rPr>
            <sz val="10"/>
            <rFont val="Arial"/>
            <family val="2"/>
          </rPr>
          <t xml:space="preserve">Frees for</t>
        </r>
      </text>
    </comment>
    <comment ref="AE4" authorId="0">
      <text>
        <r>
          <rPr>
            <sz val="10"/>
            <rFont val="Arial"/>
            <family val="2"/>
          </rPr>
          <t xml:space="preserve">Kick-ins</t>
        </r>
      </text>
    </comment>
    <comment ref="AF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GST (code not labelled by Premier Data)</t>
        </r>
      </text>
    </comment>
    <comment ref="AH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I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J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K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O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P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Q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R4" authorId="0">
      <text>
        <r>
          <rPr>
            <sz val="10"/>
            <rFont val="Arial"/>
            <family val="2"/>
          </rPr>
          <t xml:space="preserve">Goal assists</t>
        </r>
      </text>
    </comment>
    <comment ref="AS4" authorId="0">
      <text>
        <r>
          <rPr>
            <sz val="10"/>
            <rFont val="Arial"/>
            <family val="2"/>
          </rPr>
          <t xml:space="preserve">Goal accuracy %</t>
        </r>
      </text>
    </comment>
    <comment ref="AT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AU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AV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AW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AX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AY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Disposals</t>
        </r>
      </text>
    </comment>
    <comment ref="F4" authorId="0">
      <text>
        <r>
          <rPr>
            <sz val="10"/>
            <rFont val="Arial"/>
            <family val="2"/>
          </rPr>
          <t xml:space="preserve">Kicks</t>
        </r>
      </text>
    </comment>
    <comment ref="G4" authorId="0">
      <text>
        <r>
          <rPr>
            <sz val="10"/>
            <rFont val="Arial"/>
            <family val="2"/>
          </rPr>
          <t xml:space="preserve">Handballs</t>
        </r>
      </text>
    </comment>
    <comment ref="H4" authorId="0">
      <text>
        <r>
          <rPr>
            <sz val="10"/>
            <rFont val="Arial"/>
            <family val="2"/>
          </rPr>
          <t xml:space="preserve">Contested possessions</t>
        </r>
      </text>
    </comment>
    <comment ref="I4" authorId="0">
      <text>
        <r>
          <rPr>
            <sz val="10"/>
            <rFont val="Arial"/>
            <family val="2"/>
          </rPr>
          <t xml:space="preserve">Total groundball gets</t>
        </r>
      </text>
    </comment>
    <comment ref="J4" authorId="0">
      <text>
        <r>
          <rPr>
            <sz val="10"/>
            <rFont val="Arial"/>
            <family val="2"/>
          </rPr>
          <t xml:space="preserve">Hard ball gets</t>
        </r>
      </text>
    </comment>
    <comment ref="K4" authorId="0">
      <text>
        <r>
          <rPr>
            <sz val="10"/>
            <rFont val="Arial"/>
            <family val="2"/>
          </rPr>
          <t xml:space="preserve">Loose ball gets</t>
        </r>
      </text>
    </comment>
    <comment ref="L4" authorId="0">
      <text>
        <r>
          <rPr>
            <sz val="10"/>
            <rFont val="Arial"/>
            <family val="2"/>
          </rPr>
          <t xml:space="preserve">Intercept possessions</t>
        </r>
      </text>
    </comment>
    <comment ref="N4" authorId="0">
      <text>
        <r>
          <rPr>
            <sz val="10"/>
            <rFont val="Arial"/>
            <family val="2"/>
          </rPr>
          <t xml:space="preserve">Handball receives</t>
        </r>
      </text>
    </comment>
    <comment ref="O4" authorId="0">
      <text>
        <r>
          <rPr>
            <sz val="10"/>
            <rFont val="Arial"/>
            <family val="2"/>
          </rPr>
          <t xml:space="preserve">Marks</t>
        </r>
      </text>
    </comment>
    <comment ref="P4" authorId="0">
      <text>
        <r>
          <rPr>
            <sz val="10"/>
            <rFont val="Arial"/>
            <family val="2"/>
          </rPr>
          <t xml:space="preserve">Contested marks</t>
        </r>
      </text>
    </comment>
    <comment ref="Q4" authorId="0">
      <text>
        <r>
          <rPr>
            <sz val="10"/>
            <rFont val="Arial"/>
            <family val="2"/>
          </rPr>
          <t xml:space="preserve">Uncontested marks</t>
        </r>
      </text>
    </comment>
    <comment ref="R4" authorId="0">
      <text>
        <r>
          <rPr>
            <sz val="10"/>
            <rFont val="Arial"/>
            <family val="2"/>
          </rPr>
          <t xml:space="preserve">Intercept marks</t>
        </r>
      </text>
    </comment>
    <comment ref="S4" authorId="0">
      <text>
        <r>
          <rPr>
            <sz val="10"/>
            <rFont val="Arial"/>
            <family val="2"/>
          </rPr>
          <t xml:space="preserve">Marks inside 50</t>
        </r>
      </text>
    </comment>
    <comment ref="T4" authorId="0">
      <text>
        <r>
          <rPr>
            <sz val="10"/>
            <rFont val="Arial"/>
            <family val="2"/>
          </rPr>
          <t xml:space="preserve">Ranking points (Premier Data impact score)</t>
        </r>
      </text>
    </comment>
    <comment ref="U4" authorId="0">
      <text>
        <r>
          <rPr>
            <sz val="10"/>
            <rFont val="Arial"/>
            <family val="2"/>
          </rPr>
          <t xml:space="preserve">Hit outs</t>
        </r>
      </text>
    </comment>
    <comment ref="V4" authorId="0">
      <text>
        <r>
          <rPr>
            <sz val="10"/>
            <rFont val="Arial"/>
            <family val="2"/>
          </rPr>
          <t xml:space="preserve">Hit outs to advantage</t>
        </r>
      </text>
    </comment>
    <comment ref="W4" authorId="0">
      <text>
        <r>
          <rPr>
            <sz val="10"/>
            <rFont val="Arial"/>
            <family val="2"/>
          </rPr>
          <t xml:space="preserve">Clearances</t>
        </r>
      </text>
    </comment>
    <comment ref="X4" authorId="0">
      <text>
        <r>
          <rPr>
            <sz val="10"/>
            <rFont val="Arial"/>
            <family val="2"/>
          </rPr>
          <t xml:space="preserve">Centre clearances</t>
        </r>
      </text>
    </comment>
    <comment ref="Y4" authorId="0">
      <text>
        <r>
          <rPr>
            <sz val="10"/>
            <rFont val="Arial"/>
            <family val="2"/>
          </rPr>
          <t xml:space="preserve">Ball-up clearances</t>
        </r>
      </text>
    </comment>
    <comment ref="Z4" authorId="0">
      <text>
        <r>
          <rPr>
            <sz val="10"/>
            <rFont val="Arial"/>
            <family val="2"/>
          </rPr>
          <t xml:space="preserve">Throw-in clearances</t>
        </r>
      </text>
    </comment>
    <comment ref="AA4" authorId="0">
      <text>
        <r>
          <rPr>
            <sz val="10"/>
            <rFont val="Arial"/>
            <family val="2"/>
          </rPr>
          <t xml:space="preserve">Inside 50s</t>
        </r>
      </text>
    </comment>
    <comment ref="AB4" authorId="0">
      <text>
        <r>
          <rPr>
            <sz val="10"/>
            <rFont val="Arial"/>
            <family val="2"/>
          </rPr>
          <t xml:space="preserve">Rebound 50s</t>
        </r>
      </text>
    </comment>
    <comment ref="AC4" authorId="0">
      <text>
        <r>
          <rPr>
            <sz val="10"/>
            <rFont val="Arial"/>
            <family val="2"/>
          </rPr>
          <t xml:space="preserve">Frees for</t>
        </r>
      </text>
    </comment>
    <comment ref="AD4" authorId="0">
      <text>
        <r>
          <rPr>
            <sz val="10"/>
            <rFont val="Arial"/>
            <family val="2"/>
          </rPr>
          <t xml:space="preserve">Kick-ins</t>
        </r>
      </text>
    </comment>
    <comment ref="AE4" authorId="0">
      <text>
        <r>
          <rPr>
            <sz val="10"/>
            <rFont val="Arial"/>
            <family val="2"/>
          </rPr>
          <t xml:space="preserve">One-percenters</t>
        </r>
      </text>
    </comment>
    <comment ref="AG4" authorId="0">
      <text>
        <r>
          <rPr>
            <sz val="10"/>
            <rFont val="Arial"/>
            <family val="2"/>
          </rPr>
          <t xml:space="preserve">Back-half turnovers</t>
        </r>
      </text>
    </comment>
    <comment ref="AH4" authorId="0">
      <text>
        <r>
          <rPr>
            <sz val="10"/>
            <rFont val="Arial"/>
            <family val="2"/>
          </rPr>
          <t xml:space="preserve">Midfield turnovers</t>
        </r>
      </text>
    </comment>
    <comment ref="AI4" authorId="0">
      <text>
        <r>
          <rPr>
            <sz val="10"/>
            <rFont val="Arial"/>
            <family val="2"/>
          </rPr>
          <t xml:space="preserve">Forward-half turnovers</t>
        </r>
      </text>
    </comment>
    <comment ref="AJ4" authorId="0">
      <text>
        <r>
          <rPr>
            <sz val="10"/>
            <rFont val="Arial"/>
            <family val="2"/>
          </rPr>
          <t xml:space="preserve">Overall pressure</t>
        </r>
      </text>
    </comment>
    <comment ref="AL4" authorId="0">
      <text>
        <r>
          <rPr>
            <sz val="10"/>
            <rFont val="Arial"/>
            <family val="2"/>
          </rPr>
          <t xml:space="preserve">Chases</t>
        </r>
      </text>
    </comment>
    <comment ref="AM4" authorId="0">
      <text>
        <r>
          <rPr>
            <sz val="10"/>
            <rFont val="Arial"/>
            <family val="2"/>
          </rPr>
          <t xml:space="preserve">Smothers</t>
        </r>
      </text>
    </comment>
    <comment ref="AN4" authorId="0">
      <text>
        <r>
          <rPr>
            <sz val="10"/>
            <rFont val="Arial"/>
            <family val="2"/>
          </rPr>
          <t xml:space="preserve">Spoils</t>
        </r>
      </text>
    </comment>
    <comment ref="AP4" authorId="0">
      <text>
        <r>
          <rPr>
            <sz val="10"/>
            <rFont val="Arial"/>
            <family val="2"/>
          </rPr>
          <t xml:space="preserve">Tackles</t>
        </r>
      </text>
    </comment>
    <comment ref="AR4" authorId="0">
      <text>
        <r>
          <rPr>
            <sz val="10"/>
            <rFont val="Arial"/>
            <family val="2"/>
          </rPr>
          <t xml:space="preserve">Forward 50 tackles</t>
        </r>
      </text>
    </comment>
    <comment ref="AS4" authorId="0">
      <text>
        <r>
          <rPr>
            <sz val="10"/>
            <rFont val="Arial"/>
            <family val="2"/>
          </rPr>
          <t xml:space="preserve">Midfield tackles</t>
        </r>
      </text>
    </comment>
    <comment ref="AT4" authorId="0">
      <text>
        <r>
          <rPr>
            <sz val="10"/>
            <rFont val="Arial"/>
            <family val="2"/>
          </rPr>
          <t xml:space="preserve">Back 50 tackles</t>
        </r>
      </text>
    </comment>
    <comment ref="AU4" authorId="0">
      <text>
        <r>
          <rPr>
            <sz val="10"/>
            <rFont val="Arial"/>
            <family val="2"/>
          </rPr>
          <t xml:space="preserve">Goals</t>
        </r>
      </text>
    </comment>
    <comment ref="AV4" authorId="0">
      <text>
        <r>
          <rPr>
            <sz val="10"/>
            <rFont val="Arial"/>
            <family val="2"/>
          </rPr>
          <t xml:space="preserve">Behinds</t>
        </r>
      </text>
    </comment>
    <comment ref="AZ4" authorId="0">
      <text>
        <r>
          <rPr>
            <sz val="10"/>
            <rFont val="Arial"/>
            <family val="2"/>
          </rPr>
          <t xml:space="preserve">Goal accuracy %</t>
        </r>
      </text>
    </comment>
    <comment ref="BA4" authorId="0">
      <text>
        <r>
          <rPr>
            <sz val="10"/>
            <rFont val="Arial"/>
            <family val="2"/>
          </rPr>
          <t xml:space="preserve">Disposal efficiency %</t>
        </r>
      </text>
    </comment>
    <comment ref="BB4" authorId="0">
      <text>
        <r>
          <rPr>
            <sz val="10"/>
            <rFont val="Arial"/>
            <family val="2"/>
          </rPr>
          <t xml:space="preserve">Inside-50 efficiency %</t>
        </r>
      </text>
    </comment>
    <comment ref="BC4" authorId="0">
      <text>
        <r>
          <rPr>
            <sz val="10"/>
            <rFont val="Arial"/>
            <family val="2"/>
          </rPr>
          <t xml:space="preserve">Kick efficiency %</t>
        </r>
      </text>
    </comment>
    <comment ref="BD4" authorId="0">
      <text>
        <r>
          <rPr>
            <sz val="10"/>
            <rFont val="Arial"/>
            <family val="2"/>
          </rPr>
          <t xml:space="preserve">Handball efficiency %</t>
        </r>
      </text>
    </comment>
    <comment ref="BE4" authorId="0">
      <text>
        <r>
          <rPr>
            <sz val="10"/>
            <rFont val="Arial"/>
            <family val="2"/>
          </rPr>
          <t xml:space="preserve">Clearance efficiency %</t>
        </r>
      </text>
    </comment>
    <comment ref="BF4" authorId="0">
      <text>
        <r>
          <rPr>
            <sz val="10"/>
            <rFont val="Arial"/>
            <family val="2"/>
          </rPr>
          <t xml:space="preserve">Rebound-50 efficiency %</t>
        </r>
      </text>
    </comment>
  </commentList>
</comments>
</file>

<file path=xl/sharedStrings.xml><?xml version="1.0" encoding="utf-8"?>
<sst xmlns="http://schemas.openxmlformats.org/spreadsheetml/2006/main" count="1847" uniqueCount="317">
  <si>
    <t xml:space="preserve">Shepparton United vs Echuca (2026 premiers): team stats workbook</t>
  </si>
  <si>
    <t xml:space="preserve">Sheet</t>
  </si>
  <si>
    <t xml:space="preserve">What it shows</t>
  </si>
  <si>
    <t xml:space="preserve">Where to Improve</t>
  </si>
  <si>
    <t xml:space="preserve">START HERE. Every stat: United vs Echuca vs league average per game, the gap, both clubs' league rank, and a verdict. Biggest Echuca advantages are at the top.</t>
  </si>
  <si>
    <t xml:space="preserve">Season For v Against</t>
  </si>
  <si>
    <t xml:space="preserve">Each club's season averages against its own opponents. Shows how much each club out-did (or was out-done by) the teams it played.</t>
  </si>
  <si>
    <t xml:space="preserve">United vs Each Opponent</t>
  </si>
  <si>
    <t xml:space="preserve">United's average stats against every opponent: own average, opponent's average and the difference.</t>
  </si>
  <si>
    <t xml:space="preserve">Echuca vs Each Opponent</t>
  </si>
  <si>
    <t xml:space="preserve">The same for Echuca, so you can compare how the premiers handled each club.</t>
  </si>
  <si>
    <t xml:space="preserve">United Games For / Against / Diff</t>
  </si>
  <si>
    <t xml:space="preserve">Every United game: United's stats, the opponent's stats, and the difference (formulas).</t>
  </si>
  <si>
    <t xml:space="preserve">Echuca Games For / Against / Diff</t>
  </si>
  <si>
    <t xml:space="preserve">Every Echuca game including their three finals.</t>
  </si>
  <si>
    <t xml:space="preserve">League Per Game</t>
  </si>
  <si>
    <t xml:space="preserve">All 12 clubs' per-game averages (the base for 'Where to Improve'). United = blue row, Echuca = green row.</t>
  </si>
  <si>
    <t xml:space="preserve">League Season Totals</t>
  </si>
  <si>
    <t xml:space="preserve">All 12 clubs' season totals. Finals teams played more games, so per-game is the fairer comparison.</t>
  </si>
  <si>
    <t xml:space="preserve">How to read it</t>
  </si>
  <si>
    <t xml:space="preserve">• 'Higher is better?' (yellow, blue text) says whether a bigger number is good (Y), bad (N, e.g. turnovers), or has no clear direction (?). You can change these; verdicts and shading update.</t>
  </si>
  <si>
    <t xml:space="preserve">• 'Gap in std devs' puts every stat on the same scale: 1.0 means the gap is as big as the typical spread between the 12 clubs. Above the threshold on 'Where to Improve' (0.75 by default) = PRIORITY.</t>
  </si>
  <si>
    <t xml:space="preserve">• Blue shading = United better, orange/red = Echuca (or the opponent) better.</t>
  </si>
  <si>
    <t xml:space="preserve">Data notes</t>
  </si>
  <si>
    <t xml:space="preserve">• Source: Premier Data (pdapp2.advancedhp.com.au), Shepparton United club account, scraped 25 Sep 2026. Season complete; Echuca won the grand final.</t>
  </si>
  <si>
    <t xml:space="preserve">• United played 18 games (no finals). Echuca's figures include 3 finals, which were against the strongest teams.</t>
  </si>
  <si>
    <t xml:space="preserve">• 'Pressure acts' (PRA) and 'Overall pressure' (PR) are different Premier Data measures; both are included.</t>
  </si>
  <si>
    <t xml:space="preserve">• Stats recorded as 0 for every club (frees against, bounces, KO) are left out of the league sheets.</t>
  </si>
  <si>
    <t xml:space="preserve">• 'Score sources' rows in 'Season For v Against' are Premier Data's scoring breakdown by source (e.g. scores from turnovers); the direction is left as '?'.</t>
  </si>
  <si>
    <t xml:space="preserve">• Stat codes GST and KO are not labelled by Premier Data.</t>
  </si>
  <si>
    <t xml:space="preserve">Stat codes</t>
  </si>
  <si>
    <t xml:space="preserve">1%</t>
  </si>
  <si>
    <t xml:space="preserve">One-percenters</t>
  </si>
  <si>
    <t xml:space="preserve">B</t>
  </si>
  <si>
    <t xml:space="preserve">Behinds</t>
  </si>
  <si>
    <t xml:space="preserve">BOU</t>
  </si>
  <si>
    <t xml:space="preserve">Bounces</t>
  </si>
  <si>
    <t xml:space="preserve">BTKL</t>
  </si>
  <si>
    <t xml:space="preserve">Back 50 tackles</t>
  </si>
  <si>
    <t xml:space="preserve">BTO</t>
  </si>
  <si>
    <t xml:space="preserve">Back-half turnovers</t>
  </si>
  <si>
    <t xml:space="preserve">BUC</t>
  </si>
  <si>
    <t xml:space="preserve">Ball-up clearances</t>
  </si>
  <si>
    <t xml:space="preserve">C%</t>
  </si>
  <si>
    <t xml:space="preserve">Clearance efficiency %</t>
  </si>
  <si>
    <t xml:space="preserve">CC</t>
  </si>
  <si>
    <t xml:space="preserve">Centre clearances</t>
  </si>
  <si>
    <t xml:space="preserve">CM</t>
  </si>
  <si>
    <t xml:space="preserve">Contested marks</t>
  </si>
  <si>
    <t xml:space="preserve">CP</t>
  </si>
  <si>
    <t xml:space="preserve">Contested possessions</t>
  </si>
  <si>
    <t xml:space="preserve">Ch</t>
  </si>
  <si>
    <t xml:space="preserve">Chases</t>
  </si>
  <si>
    <t xml:space="preserve">Cl</t>
  </si>
  <si>
    <t xml:space="preserve">Clearances</t>
  </si>
  <si>
    <t xml:space="preserve">D</t>
  </si>
  <si>
    <t xml:space="preserve">Disposals</t>
  </si>
  <si>
    <t xml:space="preserve">DE%</t>
  </si>
  <si>
    <t xml:space="preserve">Disposal efficiency %</t>
  </si>
  <si>
    <t xml:space="preserve">ED</t>
  </si>
  <si>
    <t xml:space="preserve">Effective disposals</t>
  </si>
  <si>
    <t xml:space="preserve">EFFC</t>
  </si>
  <si>
    <t xml:space="preserve">Effective clearances</t>
  </si>
  <si>
    <t xml:space="preserve">EFFR</t>
  </si>
  <si>
    <t xml:space="preserve">Effective rebound 50s</t>
  </si>
  <si>
    <t xml:space="preserve">FA</t>
  </si>
  <si>
    <t xml:space="preserve">Frees against</t>
  </si>
  <si>
    <t xml:space="preserve">FF</t>
  </si>
  <si>
    <t xml:space="preserve">Frees for</t>
  </si>
  <si>
    <t xml:space="preserve">FTKL</t>
  </si>
  <si>
    <t xml:space="preserve">Forward 50 tackles</t>
  </si>
  <si>
    <t xml:space="preserve">FTO</t>
  </si>
  <si>
    <t xml:space="preserve">Forward-half turnovers</t>
  </si>
  <si>
    <t xml:space="preserve">G</t>
  </si>
  <si>
    <t xml:space="preserve">Goals</t>
  </si>
  <si>
    <t xml:space="preserve">GA</t>
  </si>
  <si>
    <t xml:space="preserve">Goal assists</t>
  </si>
  <si>
    <t xml:space="preserve">GA%</t>
  </si>
  <si>
    <t xml:space="preserve">Goal accuracy %</t>
  </si>
  <si>
    <t xml:space="preserve">GST</t>
  </si>
  <si>
    <t xml:space="preserve">GST (code not labelled by Premier Data)</t>
  </si>
  <si>
    <t xml:space="preserve">GTH</t>
  </si>
  <si>
    <t xml:space="preserve">Gathers</t>
  </si>
  <si>
    <t xml:space="preserve">H%</t>
  </si>
  <si>
    <t xml:space="preserve">Handball efficiency %</t>
  </si>
  <si>
    <t xml:space="preserve">HB</t>
  </si>
  <si>
    <t xml:space="preserve">Handballs</t>
  </si>
  <si>
    <t xml:space="preserve">HBG</t>
  </si>
  <si>
    <t xml:space="preserve">Hard ball gets</t>
  </si>
  <si>
    <t xml:space="preserve">HE</t>
  </si>
  <si>
    <t xml:space="preserve">Effective handballs</t>
  </si>
  <si>
    <t xml:space="preserve">HO</t>
  </si>
  <si>
    <t xml:space="preserve">Hit outs</t>
  </si>
  <si>
    <t xml:space="preserve">HOA</t>
  </si>
  <si>
    <t xml:space="preserve">Hit outs to advantage</t>
  </si>
  <si>
    <t xml:space="preserve">HR</t>
  </si>
  <si>
    <t xml:space="preserve">Handball receives</t>
  </si>
  <si>
    <t xml:space="preserve">I50</t>
  </si>
  <si>
    <t xml:space="preserve">Inside 50s</t>
  </si>
  <si>
    <t xml:space="preserve">I50%</t>
  </si>
  <si>
    <t xml:space="preserve">Inside-50 efficiency %</t>
  </si>
  <si>
    <t xml:space="preserve">IM</t>
  </si>
  <si>
    <t xml:space="preserve">Intercept marks</t>
  </si>
  <si>
    <t xml:space="preserve">IP</t>
  </si>
  <si>
    <t xml:space="preserve">Intercept possessions</t>
  </si>
  <si>
    <t xml:space="preserve">K</t>
  </si>
  <si>
    <t xml:space="preserve">Kicks</t>
  </si>
  <si>
    <t xml:space="preserve">K%</t>
  </si>
  <si>
    <t xml:space="preserve">Kick efficiency %</t>
  </si>
  <si>
    <t xml:space="preserve">KE</t>
  </si>
  <si>
    <t xml:space="preserve">Effective kicks</t>
  </si>
  <si>
    <t xml:space="preserve">KI</t>
  </si>
  <si>
    <t xml:space="preserve">Kick-ins</t>
  </si>
  <si>
    <t xml:space="preserve">KI%</t>
  </si>
  <si>
    <t xml:space="preserve">Kick-in efficiency %</t>
  </si>
  <si>
    <t xml:space="preserve">KO</t>
  </si>
  <si>
    <t xml:space="preserve">KO (code not labelled by Premier Data)</t>
  </si>
  <si>
    <t xml:space="preserve">LBG</t>
  </si>
  <si>
    <t xml:space="preserve">Loose ball gets</t>
  </si>
  <si>
    <t xml:space="preserve">M</t>
  </si>
  <si>
    <t xml:space="preserve">Marks</t>
  </si>
  <si>
    <t xml:space="preserve">MI50</t>
  </si>
  <si>
    <t xml:space="preserve">Marks inside 50</t>
  </si>
  <si>
    <t xml:space="preserve">MTKL</t>
  </si>
  <si>
    <t xml:space="preserve">Midfield tackles</t>
  </si>
  <si>
    <t xml:space="preserve">MTO</t>
  </si>
  <si>
    <t xml:space="preserve">Midfield turnovers</t>
  </si>
  <si>
    <t xml:space="preserve">PR</t>
  </si>
  <si>
    <t xml:space="preserve">Overall pressure</t>
  </si>
  <si>
    <t xml:space="preserve">PRA</t>
  </si>
  <si>
    <t xml:space="preserve">Pressure acts</t>
  </si>
  <si>
    <t xml:space="preserve">PRF</t>
  </si>
  <si>
    <t xml:space="preserve">Pressure acts forward</t>
  </si>
  <si>
    <t xml:space="preserve">R50</t>
  </si>
  <si>
    <t xml:space="preserve">Rebound 50s</t>
  </si>
  <si>
    <t xml:space="preserve">R50%</t>
  </si>
  <si>
    <t xml:space="preserve">Rebound-50 efficiency %</t>
  </si>
  <si>
    <t xml:space="preserve">RB</t>
  </si>
  <si>
    <t xml:space="preserve">Rushed behinds</t>
  </si>
  <si>
    <t xml:space="preserve">RP</t>
  </si>
  <si>
    <t xml:space="preserve">Ranking points (Premier Data impact score)</t>
  </si>
  <si>
    <t xml:space="preserve">SE%</t>
  </si>
  <si>
    <t xml:space="preserve">Scoring efficiency %</t>
  </si>
  <si>
    <t xml:space="preserve">SI</t>
  </si>
  <si>
    <t xml:space="preserve">Score involvements</t>
  </si>
  <si>
    <t xml:space="preserve">SS</t>
  </si>
  <si>
    <t xml:space="preserve">Scoring shots</t>
  </si>
  <si>
    <t xml:space="preserve">Sm</t>
  </si>
  <si>
    <t xml:space="preserve">Smothers</t>
  </si>
  <si>
    <t xml:space="preserve">Sp</t>
  </si>
  <si>
    <t xml:space="preserve">Spoils</t>
  </si>
  <si>
    <t xml:space="preserve">T</t>
  </si>
  <si>
    <t xml:space="preserve">Tackles</t>
  </si>
  <si>
    <t xml:space="preserve">TE</t>
  </si>
  <si>
    <t xml:space="preserve">Tackle efficiency</t>
  </si>
  <si>
    <t xml:space="preserve">TGB</t>
  </si>
  <si>
    <t xml:space="preserve">Total groundball gets</t>
  </si>
  <si>
    <t xml:space="preserve">TIC</t>
  </si>
  <si>
    <t xml:space="preserve">Throw-in clearances</t>
  </si>
  <si>
    <t xml:space="preserve">TO</t>
  </si>
  <si>
    <t xml:space="preserve">Turnovers</t>
  </si>
  <si>
    <t xml:space="preserve">UM</t>
  </si>
  <si>
    <t xml:space="preserve">Uncontested marks</t>
  </si>
  <si>
    <t xml:space="preserve">Where Shepparton United needs to improve to play like the premiers (Echuca)</t>
  </si>
  <si>
    <t xml:space="preserve">Per-game averages from the 'League Per Game' sheet. Every number below is a formula. Rows are ordered by the size of the gap (biggest Echuca advantage first) as at 25 Sep 2026.</t>
  </si>
  <si>
    <t xml:space="preserve">Priority threshold (gap in standard deviations):</t>
  </si>
  <si>
    <t xml:space="preserve">← editable. Yellow cells with blue text are settings you can change.</t>
  </si>
  <si>
    <t xml:space="preserve">Stat</t>
  </si>
  <si>
    <t xml:space="preserve">Stat name</t>
  </si>
  <si>
    <t xml:space="preserve">Higher is better?</t>
  </si>
  <si>
    <t xml:space="preserve">United per game</t>
  </si>
  <si>
    <t xml:space="preserve">Echuca per game</t>
  </si>
  <si>
    <t xml:space="preserve">League average</t>
  </si>
  <si>
    <t xml:space="preserve">Gap (Echuca − United)</t>
  </si>
  <si>
    <t xml:space="preserve">Gap as % of United</t>
  </si>
  <si>
    <t xml:space="preserve">United rank (of 12)</t>
  </si>
  <si>
    <t xml:space="preserve">Echuca rank (of 12)</t>
  </si>
  <si>
    <t xml:space="preserve">Gap in std devs (+ = Echuca better)</t>
  </si>
  <si>
    <t xml:space="preserve">Verdict</t>
  </si>
  <si>
    <t xml:space="preserve">Y</t>
  </si>
  <si>
    <t xml:space="preserve">N</t>
  </si>
  <si>
    <t xml:space="preserve">?</t>
  </si>
  <si>
    <t xml:space="preserve">Head to head: United vs Echuca in 2026</t>
  </si>
  <si>
    <t xml:space="preserve">Round</t>
  </si>
  <si>
    <t xml:space="preserve">Side</t>
  </si>
  <si>
    <t xml:space="preserve">United</t>
  </si>
  <si>
    <t xml:space="preserve">Echuca</t>
  </si>
  <si>
    <t xml:space="preserve">Difference</t>
  </si>
  <si>
    <t xml:space="preserve">United lost these games by 37 points (Round 6) and 100 points (Round 17). Positive difference = United had more.</t>
  </si>
  <si>
    <t xml:space="preserve">All 12 GVL clubs: per-game averages, 2026 season (including finals)</t>
  </si>
  <si>
    <t xml:space="preserve">Source: Premier Data Leaderboards &gt; Teams &gt; Averages. Percent columns are whole-number percentages (69 = 69%). Hover a header for its full name.</t>
  </si>
  <si>
    <t xml:space="preserve">Team</t>
  </si>
  <si>
    <t xml:space="preserve">Games</t>
  </si>
  <si>
    <t xml:space="preserve">Kyabram</t>
  </si>
  <si>
    <t xml:space="preserve">Shepparton Bears</t>
  </si>
  <si>
    <t xml:space="preserve">Shepparton United</t>
  </si>
  <si>
    <t xml:space="preserve">Seymour</t>
  </si>
  <si>
    <t xml:space="preserve">Rochester</t>
  </si>
  <si>
    <t xml:space="preserve">Mooroopna</t>
  </si>
  <si>
    <t xml:space="preserve">Mansfield</t>
  </si>
  <si>
    <t xml:space="preserve">Shepparton Swans</t>
  </si>
  <si>
    <t xml:space="preserve">Euroa</t>
  </si>
  <si>
    <t xml:space="preserve">Benalla</t>
  </si>
  <si>
    <t xml:space="preserve">Tatura</t>
  </si>
  <si>
    <t xml:space="preserve">All 12 GVL clubs: season totals, 2026 (including finals)</t>
  </si>
  <si>
    <t xml:space="preserve">Source: Premier Data Leaderboards &gt; Teams &gt; Totals. Finals teams played more games, so compare per-game averages for fairness.</t>
  </si>
  <si>
    <t xml:space="preserve">Shepparton United 2026: Shepparton United's own stats in each game</t>
  </si>
  <si>
    <t xml:space="preserve">Source: Premier Data Team Summary &gt; Match Statistics. Hover a header for its full name.</t>
  </si>
  <si>
    <t xml:space="preserve">Opponent</t>
  </si>
  <si>
    <t xml:space="preserve">Stage</t>
  </si>
  <si>
    <t xml:space="preserve">Result</t>
  </si>
  <si>
    <t xml:space="preserve">Home &amp; away</t>
  </si>
  <si>
    <t xml:space="preserve">L</t>
  </si>
  <si>
    <t xml:space="preserve">W</t>
  </si>
  <si>
    <t xml:space="preserve">Shepparton United 2026: The opponent's stats in each game against Shepparton United</t>
  </si>
  <si>
    <t xml:space="preserve">Shepparton United 2026: differential in each game (own stat minus opponent's stat)</t>
  </si>
  <si>
    <t xml:space="preserve">Formulas: For sheet minus Against sheet. Positive = more than the opponent.</t>
  </si>
  <si>
    <t xml:space="preserve">Echuca 2026: Echuca's own stats in each game</t>
  </si>
  <si>
    <t xml:space="preserve">FW1</t>
  </si>
  <si>
    <t xml:space="preserve">Finals</t>
  </si>
  <si>
    <t xml:space="preserve">FW2</t>
  </si>
  <si>
    <t xml:space="preserve">GF</t>
  </si>
  <si>
    <t xml:space="preserve">Echuca 2026: The opponent's stats in each game against Echuca</t>
  </si>
  <si>
    <t xml:space="preserve">Echuca 2026: differential in each game (own stat minus opponent's stat)</t>
  </si>
  <si>
    <t xml:space="preserve">Shepparton United: average stats against each opponent (all 2026 games including finals)</t>
  </si>
  <si>
    <t xml:space="preserve">Three blocks: own average, opponent's average, and the difference. Blue = better than the opponent, red = worse (uses the 'Higher is better?' setting; '?' stats are not shaded).</t>
  </si>
  <si>
    <t xml:space="preserve">Own average</t>
  </si>
  <si>
    <t xml:space="preserve">Opponent average</t>
  </si>
  <si>
    <t xml:space="preserve">Difference (own - opponent)</t>
  </si>
  <si>
    <t xml:space="preserve">Games played vs this opponent</t>
  </si>
  <si>
    <t xml:space="preserve">Echuca: average stats against each opponent (all 2026 games including finals)</t>
  </si>
  <si>
    <t xml:space="preserve">Season averages: each club vs its own opponents (United 18 games; Echuca 21 games incl. finals)</t>
  </si>
  <si>
    <t xml:space="preserve">Source: Premier Data Team Summary &gt; Season Stats (All Opponents). Differences are formulas. Column J = how much bigger Echuca's edge over its opponents is than United's (direction-adjusted: positive = Echuca's edge is better).</t>
  </si>
  <si>
    <t xml:space="preserve">Section</t>
  </si>
  <si>
    <t xml:space="preserve">Shepparton United for</t>
  </si>
  <si>
    <t xml:space="preserve">Shepparton United against</t>
  </si>
  <si>
    <t xml:space="preserve">Shepparton United difference</t>
  </si>
  <si>
    <t xml:space="preserve">Echuca for</t>
  </si>
  <si>
    <t xml:space="preserve">Echuca against</t>
  </si>
  <si>
    <t xml:space="preserve">Echuca difference</t>
  </si>
  <si>
    <t xml:space="preserve">Echuca edge minus United edge</t>
  </si>
  <si>
    <t xml:space="preserve">General</t>
  </si>
  <si>
    <t xml:space="preserve">Back Turnovers</t>
  </si>
  <si>
    <t xml:space="preserve">Ball Up Clearances</t>
  </si>
  <si>
    <t xml:space="preserve">Centre Clearances</t>
  </si>
  <si>
    <t xml:space="preserve">Effective Clearances</t>
  </si>
  <si>
    <t xml:space="preserve">Clearance %</t>
  </si>
  <si>
    <t xml:space="preserve">Contested Possessions</t>
  </si>
  <si>
    <t xml:space="preserve">Contested Marks</t>
  </si>
  <si>
    <t xml:space="preserve">Effective Disposals</t>
  </si>
  <si>
    <t xml:space="preserve">Total Disposal %</t>
  </si>
  <si>
    <t xml:space="preserve">Forward Turnovers</t>
  </si>
  <si>
    <t xml:space="preserve">Frees For</t>
  </si>
  <si>
    <t xml:space="preserve">Goal Accuracy</t>
  </si>
  <si>
    <t xml:space="preserve">Total Groundball Gets</t>
  </si>
  <si>
    <t xml:space="preserve">Handball Receives</t>
  </si>
  <si>
    <t xml:space="preserve">Effective Handballs</t>
  </si>
  <si>
    <t xml:space="preserve">Handball %</t>
  </si>
  <si>
    <t xml:space="preserve">Hard Ball Gets</t>
  </si>
  <si>
    <t xml:space="preserve">Hit Outs</t>
  </si>
  <si>
    <t xml:space="preserve">Hit Outs to Advantage</t>
  </si>
  <si>
    <t xml:space="preserve">Inside 50s Effective</t>
  </si>
  <si>
    <t xml:space="preserve">Fwd 50 Entry %</t>
  </si>
  <si>
    <t xml:space="preserve">Intercept Marks</t>
  </si>
  <si>
    <t xml:space="preserve">Effective Kicks</t>
  </si>
  <si>
    <t xml:space="preserve">Kick Ins</t>
  </si>
  <si>
    <t xml:space="preserve">KickIns Effective</t>
  </si>
  <si>
    <t xml:space="preserve">Kick In %</t>
  </si>
  <si>
    <t xml:space="preserve">Kick %</t>
  </si>
  <si>
    <t xml:space="preserve">Loose Ball Gets</t>
  </si>
  <si>
    <t xml:space="preserve">Marks Inside 50</t>
  </si>
  <si>
    <t xml:space="preserve">Uncontested Marks</t>
  </si>
  <si>
    <t xml:space="preserve">Midfield Turnovers</t>
  </si>
  <si>
    <t xml:space="preserve">1%ers</t>
  </si>
  <si>
    <t xml:space="preserve">Intercept Possessions</t>
  </si>
  <si>
    <t xml:space="preserve">Pressure Acts</t>
  </si>
  <si>
    <t xml:space="preserve">Pressure Acts Forward</t>
  </si>
  <si>
    <t xml:space="preserve">Overall Pressure</t>
  </si>
  <si>
    <t xml:space="preserve">Ranking Points</t>
  </si>
  <si>
    <t xml:space="preserve">Effective Rebound 50s</t>
  </si>
  <si>
    <t xml:space="preserve">Def 50 Exit %</t>
  </si>
  <si>
    <t xml:space="preserve">Score sources</t>
  </si>
  <si>
    <t xml:space="preserve">Rushed Behinds</t>
  </si>
  <si>
    <t xml:space="preserve">Behinds From Back Turnovers</t>
  </si>
  <si>
    <t xml:space="preserve">Ball Ups</t>
  </si>
  <si>
    <t xml:space="preserve">Behinds From Ball Ups</t>
  </si>
  <si>
    <t xml:space="preserve">Center Bounces</t>
  </si>
  <si>
    <t xml:space="preserve">Behinds From Center Bounces</t>
  </si>
  <si>
    <t xml:space="preserve">Deep Inside50s</t>
  </si>
  <si>
    <t xml:space="preserve">Behinds From Deep Inside50s</t>
  </si>
  <si>
    <t xml:space="preserve">F50 Turnovers</t>
  </si>
  <si>
    <t xml:space="preserve">Behinds From F50 Turnovers</t>
  </si>
  <si>
    <t xml:space="preserve">Scores From Inside50s</t>
  </si>
  <si>
    <t xml:space="preserve">Behinds From Inside50s</t>
  </si>
  <si>
    <t xml:space="preserve">Scores From Kick Ins</t>
  </si>
  <si>
    <t xml:space="preserve">Behinds From Kick Ins</t>
  </si>
  <si>
    <t xml:space="preserve">Marks Inside50 Deep</t>
  </si>
  <si>
    <t xml:space="preserve">Behinds From Marks Inside50 Deep</t>
  </si>
  <si>
    <t xml:space="preserve">Marks Inside50 Shallow</t>
  </si>
  <si>
    <t xml:space="preserve">Marks Inside50 Shallow (2)</t>
  </si>
  <si>
    <t xml:space="preserve">Behinds From Marks Inside 50</t>
  </si>
  <si>
    <t xml:space="preserve">Mid Turnovers</t>
  </si>
  <si>
    <t xml:space="preserve">Behinds From Mid Turnovers</t>
  </si>
  <si>
    <t xml:space="preserve">Shallow Inside50s</t>
  </si>
  <si>
    <t xml:space="preserve">Behinds From Shallow Inside50s</t>
  </si>
  <si>
    <t xml:space="preserve">Scores From Stoppages</t>
  </si>
  <si>
    <t xml:space="preserve">Behinds From Stoppages</t>
  </si>
  <si>
    <t xml:space="preserve">Throw Ins</t>
  </si>
  <si>
    <t xml:space="preserve">Behinds From Throw Ins</t>
  </si>
  <si>
    <t xml:space="preserve">Behinds From Turnovers</t>
  </si>
  <si>
    <t xml:space="preserve">Scoring Efficiency</t>
  </si>
  <si>
    <t xml:space="preserve">Scoring Shots</t>
  </si>
  <si>
    <t xml:space="preserve">Back 50 Tackles</t>
  </si>
  <si>
    <t xml:space="preserve">Tackles Eff</t>
  </si>
  <si>
    <t xml:space="preserve">Forward 50 Tackles</t>
  </si>
  <si>
    <t xml:space="preserve">Midfield Tackles</t>
  </si>
  <si>
    <t xml:space="preserve">Throw In Clearances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</si>
</sst>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;\-0.0;0.0"/>
    <numFmt numFmtId="166" formatCode="0%;\-0%;0%"/>
    <numFmt numFmtId="167" formatCode="0.00;\-0.00;0.00"/>
    <numFmt numFmtId="168" formatCode="0"/>
    <numFmt numFmtId="169" formatCode="0;\-0;0"/>
    <numFmt numFmtId="170" formatCode="0.0"/>
    <numFmt numFmtId="171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name val="Arial"/>
      <family val="2"/>
    </font>
    <font>
      <b val="true"/>
      <sz val="11"/>
      <color rgb="FF1F2A44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2CC"/>
        <bgColor rgb="FFE3F2E1"/>
      </patternFill>
    </fill>
    <fill>
      <patternFill patternType="solid">
        <fgColor rgb="FFDCE9FA"/>
        <bgColor rgb="FFCFE2F8"/>
      </patternFill>
    </fill>
    <fill>
      <patternFill patternType="solid">
        <fgColor rgb="FFE3F2E1"/>
        <bgColor rgb="FFDCE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9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CE9FA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D4E5F8"/>
          <bgColor rgb="FF000000"/>
        </patternFill>
      </fill>
    </dxf>
    <dxf>
      <fill>
        <patternFill patternType="solid">
          <fgColor rgb="FFDEEBFA"/>
          <bgColor rgb="FF000000"/>
        </patternFill>
      </fill>
    </dxf>
    <dxf>
      <fill>
        <patternFill patternType="solid">
          <fgColor rgb="FFE0ECFA"/>
          <bgColor rgb="FF000000"/>
        </patternFill>
      </fill>
    </dxf>
    <dxf>
      <fill>
        <patternFill patternType="solid">
          <fgColor rgb="FFE4EEFB"/>
          <bgColor rgb="FF000000"/>
        </patternFill>
      </fill>
    </dxf>
    <dxf>
      <fill>
        <patternFill patternType="solid">
          <fgColor rgb="FFE6EFFB"/>
          <bgColor rgb="FF000000"/>
        </patternFill>
      </fill>
    </dxf>
    <dxf>
      <fill>
        <patternFill patternType="solid">
          <fgColor rgb="FFE7F0FB"/>
          <bgColor rgb="FF000000"/>
        </patternFill>
      </fill>
    </dxf>
    <dxf>
      <fill>
        <patternFill patternType="solid">
          <fgColor rgb="FFECF3FC"/>
          <bgColor rgb="FF000000"/>
        </patternFill>
      </fill>
    </dxf>
    <dxf>
      <fill>
        <patternFill patternType="solid">
          <fgColor rgb="FFF0F6FC"/>
          <bgColor rgb="FF000000"/>
        </patternFill>
      </fill>
    </dxf>
    <dxf>
      <fill>
        <patternFill patternType="solid">
          <fgColor rgb="FFF2F7FD"/>
          <bgColor rgb="FF000000"/>
        </patternFill>
      </fill>
    </dxf>
    <dxf>
      <fill>
        <patternFill patternType="solid">
          <fgColor rgb="FFF3F7FD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5B487"/>
          <bgColor rgb="FF000000"/>
        </patternFill>
      </fill>
    </dxf>
    <dxf>
      <fill>
        <patternFill patternType="solid">
          <fgColor rgb="FFF6BB92"/>
          <bgColor rgb="FF000000"/>
        </patternFill>
      </fill>
    </dxf>
    <dxf>
      <fill>
        <patternFill patternType="solid">
          <fgColor rgb="FFF6BC94"/>
          <bgColor rgb="FF000000"/>
        </patternFill>
      </fill>
    </dxf>
    <dxf>
      <fill>
        <patternFill patternType="solid">
          <fgColor rgb="FFF6BE98"/>
          <bgColor rgb="FF000000"/>
        </patternFill>
      </fill>
    </dxf>
    <dxf>
      <fill>
        <patternFill patternType="solid">
          <fgColor rgb="FFF7C4A2"/>
          <bgColor rgb="FF000000"/>
        </patternFill>
      </fill>
    </dxf>
    <dxf>
      <fill>
        <patternFill patternType="solid">
          <fgColor rgb="FFF7C6A3"/>
          <bgColor rgb="FF000000"/>
        </patternFill>
      </fill>
    </dxf>
    <dxf>
      <fill>
        <patternFill patternType="solid">
          <fgColor rgb="FFF8C9A9"/>
          <bgColor rgb="FF000000"/>
        </patternFill>
      </fill>
    </dxf>
    <dxf>
      <fill>
        <patternFill patternType="solid">
          <fgColor rgb="FFF9CEB1"/>
          <bgColor rgb="FF000000"/>
        </patternFill>
      </fill>
    </dxf>
    <dxf>
      <fill>
        <patternFill patternType="solid">
          <fgColor rgb="FFF9D0B4"/>
          <bgColor rgb="FF000000"/>
        </patternFill>
      </fill>
    </dxf>
    <dxf>
      <fill>
        <patternFill patternType="solid">
          <fgColor rgb="FFF9D2B7"/>
          <bgColor rgb="FF000000"/>
        </patternFill>
      </fill>
    </dxf>
    <dxf>
      <fill>
        <patternFill patternType="solid">
          <fgColor rgb="FFFAD5BC"/>
          <bgColor rgb="FF000000"/>
        </patternFill>
      </fill>
    </dxf>
    <dxf>
      <fill>
        <patternFill patternType="solid">
          <fgColor rgb="FFFAD6BD"/>
          <bgColor rgb="FF000000"/>
        </patternFill>
      </fill>
    </dxf>
    <dxf>
      <fill>
        <patternFill patternType="solid">
          <fgColor rgb="FFFAD8C1"/>
          <bgColor rgb="FF000000"/>
        </patternFill>
      </fill>
    </dxf>
    <dxf>
      <fill>
        <patternFill patternType="solid">
          <fgColor rgb="FFFADAC5"/>
          <bgColor rgb="FF000000"/>
        </patternFill>
      </fill>
    </dxf>
    <dxf>
      <fill>
        <patternFill patternType="solid">
          <fgColor rgb="FFFBE3D2"/>
          <bgColor rgb="FF000000"/>
        </patternFill>
      </fill>
    </dxf>
    <dxf>
      <fill>
        <patternFill patternType="solid">
          <fgColor rgb="FFFCE6D8"/>
          <bgColor rgb="FF000000"/>
        </patternFill>
      </fill>
    </dxf>
    <dxf>
      <fill>
        <patternFill patternType="solid">
          <fgColor rgb="FFFCE8DB"/>
          <bgColor rgb="FF000000"/>
        </patternFill>
      </fill>
    </dxf>
    <dxf>
      <fill>
        <patternFill patternType="solid">
          <fgColor rgb="FFFCEADD"/>
          <bgColor rgb="FF000000"/>
        </patternFill>
      </fill>
    </dxf>
    <dxf>
      <fill>
        <patternFill patternType="solid">
          <fgColor rgb="FFFDEEE4"/>
          <bgColor rgb="FF000000"/>
        </patternFill>
      </fill>
    </dxf>
    <dxf>
      <fill>
        <patternFill patternType="solid">
          <fgColor rgb="FFFDEFE5"/>
          <bgColor rgb="FF000000"/>
        </patternFill>
      </fill>
    </dxf>
    <dxf>
      <fill>
        <patternFill patternType="solid">
          <fgColor rgb="FFFEF3EC"/>
          <bgColor rgb="FF000000"/>
        </patternFill>
      </fill>
    </dxf>
    <dxf>
      <fill>
        <patternFill patternType="solid">
          <fgColor rgb="FFFEF6F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ont>
        <b val="1"/>
        <color rgb="FFC0392B"/>
      </font>
    </dxf>
    <dxf>
      <font>
        <color rgb="FF1F6FC5"/>
      </font>
    </dxf>
    <dxf>
      <font>
        <color rgb="FFC0392B"/>
      </font>
    </dxf>
    <dxf>
      <fill>
        <patternFill>
          <bgColor rgb="FFCFE2F8"/>
        </patternFill>
      </fill>
    </dxf>
    <dxf>
      <fill>
        <patternFill>
          <bgColor rgb="FFF8D5D0"/>
        </patternFill>
      </fill>
    </dxf>
    <dxf>
      <fill>
        <patternFill patternType="solid">
          <fgColor rgb="FFCFE2F8"/>
          <bgColor rgb="FF000000"/>
        </patternFill>
      </fill>
    </dxf>
    <dxf>
      <fill>
        <patternFill patternType="solid">
          <fgColor rgb="FFDBE9F9"/>
          <bgColor rgb="FF000000"/>
        </patternFill>
      </fill>
    </dxf>
    <dxf>
      <fill>
        <patternFill patternType="solid">
          <fgColor rgb="FFEDF4FC"/>
          <bgColor rgb="FF000000"/>
        </patternFill>
      </fill>
    </dxf>
    <dxf>
      <fill>
        <patternFill patternType="solid">
          <fgColor rgb="FFF1F6FC"/>
          <bgColor rgb="FF000000"/>
        </patternFill>
      </fill>
    </dxf>
    <dxf>
      <fill>
        <patternFill patternType="solid">
          <fgColor rgb="FFF5B386"/>
          <bgColor rgb="FF000000"/>
        </patternFill>
      </fill>
    </dxf>
    <dxf>
      <fill>
        <patternFill patternType="solid">
          <fgColor rgb="FFF6B990"/>
          <bgColor rgb="FF000000"/>
        </patternFill>
      </fill>
    </dxf>
    <dxf>
      <fill>
        <patternFill patternType="solid">
          <fgColor rgb="FFF6F9FD"/>
          <bgColor rgb="FF000000"/>
        </patternFill>
      </fill>
    </dxf>
    <dxf>
      <fill>
        <patternFill patternType="solid">
          <fgColor rgb="FFF7C19C"/>
          <bgColor rgb="FF000000"/>
        </patternFill>
      </fill>
    </dxf>
    <dxf>
      <fill>
        <patternFill patternType="solid">
          <fgColor rgb="FFF7C4A1"/>
          <bgColor rgb="FF000000"/>
        </patternFill>
      </fill>
    </dxf>
    <dxf>
      <fill>
        <patternFill patternType="solid">
          <fgColor rgb="FFF7C7A5"/>
          <bgColor rgb="FF000000"/>
        </patternFill>
      </fill>
    </dxf>
    <dxf>
      <fill>
        <patternFill patternType="solid">
          <fgColor rgb="FFF7FAFD"/>
          <bgColor rgb="FF000000"/>
        </patternFill>
      </fill>
    </dxf>
    <dxf>
      <fill>
        <patternFill patternType="solid">
          <fgColor rgb="FFF8CAAA"/>
          <bgColor rgb="FF000000"/>
        </patternFill>
      </fill>
    </dxf>
    <dxf>
      <fill>
        <patternFill patternType="solid">
          <fgColor rgb="FFF8CAAB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fgColor rgb="FFF9D1B5"/>
          <bgColor rgb="FF000000"/>
        </patternFill>
      </fill>
    </dxf>
    <dxf>
      <fill>
        <patternFill patternType="solid">
          <fgColor rgb="FFF9D4BA"/>
          <bgColor rgb="FF000000"/>
        </patternFill>
      </fill>
    </dxf>
    <dxf>
      <fill>
        <patternFill patternType="solid">
          <fgColor rgb="FFFAFCFE"/>
          <bgColor rgb="FF000000"/>
        </patternFill>
      </fill>
    </dxf>
    <dxf>
      <fill>
        <patternFill patternType="solid">
          <fgColor rgb="FFFBE0CE"/>
          <bgColor rgb="FF000000"/>
        </patternFill>
      </fill>
    </dxf>
    <dxf>
      <fill>
        <patternFill patternType="solid">
          <fgColor rgb="FFFBE2D0"/>
          <bgColor rgb="FF000000"/>
        </patternFill>
      </fill>
    </dxf>
    <dxf>
      <fill>
        <patternFill patternType="solid">
          <fgColor rgb="FFFCE3D3"/>
          <bgColor rgb="FF000000"/>
        </patternFill>
      </fill>
    </dxf>
    <dxf>
      <fill>
        <patternFill patternType="solid">
          <fgColor rgb="FFFCE6D7"/>
          <bgColor rgb="FF000000"/>
        </patternFill>
      </fill>
    </dxf>
    <dxf>
      <fill>
        <patternFill patternType="solid">
          <fgColor rgb="FFFCE7D9"/>
          <bgColor rgb="FF000000"/>
        </patternFill>
      </fill>
    </dxf>
    <dxf>
      <fill>
        <patternFill patternType="solid">
          <fgColor rgb="FFFCE8DA"/>
          <bgColor rgb="FF000000"/>
        </patternFill>
      </fill>
    </dxf>
    <dxf>
      <fill>
        <patternFill patternType="solid">
          <fgColor rgb="FFFCFDFE"/>
          <bgColor rgb="FF000000"/>
        </patternFill>
      </fill>
    </dxf>
    <dxf>
      <fill>
        <patternFill patternType="solid">
          <fgColor rgb="FFFDEDE2"/>
          <bgColor rgb="FF000000"/>
        </patternFill>
      </fill>
    </dxf>
    <dxf>
      <fill>
        <patternFill patternType="solid">
          <fgColor rgb="FFFDF0E7"/>
          <bgColor rgb="FF000000"/>
        </patternFill>
      </fill>
    </dxf>
    <dxf>
      <fill>
        <patternFill patternType="solid">
          <fgColor rgb="FFFEF6F1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8F4"/>
          <bgColor rgb="FF000000"/>
        </patternFill>
      </fill>
    </dxf>
    <dxf>
      <fill>
        <patternFill patternType="solid">
          <fgColor rgb="FFFFFBF8"/>
          <bgColor rgb="FF000000"/>
        </patternFill>
      </fill>
    </dxf>
    <dxf>
      <fill>
        <patternFill patternType="solid">
          <fgColor rgb="FFFFFCF9"/>
          <bgColor rgb="FF000000"/>
        </patternFill>
      </fill>
    </dxf>
    <dxf>
      <fill>
        <patternFill patternType="solid">
          <fgColor rgb="FFFFFCFB"/>
          <bgColor rgb="FF000000"/>
        </patternFill>
      </fill>
    </dxf>
    <dxf>
      <fill>
        <patternFill patternType="solid">
          <fgColor rgb="FFFFFDF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CE9FA"/>
      <rgbColor rgb="FF660066"/>
      <rgbColor rgb="FFFF8080"/>
      <rgbColor rgb="FF1F6FC5"/>
      <rgbColor rgb="FFCFE2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2E1"/>
      <rgbColor rgb="FFFFFF99"/>
      <rgbColor rgb="FF99CCFF"/>
      <rgbColor rgb="FFFF99CC"/>
      <rgbColor rgb="FFCC99FF"/>
      <rgbColor rgb="FFF8D5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A8F3A"/>
      <rgbColor rgb="FF003300"/>
      <rgbColor rgb="FF333300"/>
      <rgbColor rgb="FFC0392B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3" customFormat="false" ht="15" hidden="false" customHeight="false" outlineLevel="0" collapsed="false">
      <c r="A13" s="5" t="s">
        <v>19</v>
      </c>
    </row>
    <row r="14" customFormat="false" ht="15" hidden="false" customHeight="false" outlineLevel="0" collapsed="false">
      <c r="B14" s="4" t="s">
        <v>20</v>
      </c>
    </row>
    <row r="15" customFormat="false" ht="23.85" hidden="false" customHeight="false" outlineLevel="0" collapsed="false">
      <c r="B15" s="4" t="s">
        <v>21</v>
      </c>
    </row>
    <row r="16" customFormat="false" ht="15" hidden="false" customHeight="false" outlineLevel="0" collapsed="false">
      <c r="B16" s="4" t="s">
        <v>22</v>
      </c>
    </row>
    <row r="17" customFormat="false" ht="15" hidden="false" customHeight="false" outlineLevel="0" collapsed="false">
      <c r="A17" s="5"/>
    </row>
    <row r="18" customFormat="false" ht="15" hidden="false" customHeight="false" outlineLevel="0" collapsed="false">
      <c r="A18" s="5" t="s">
        <v>23</v>
      </c>
    </row>
    <row r="19" customFormat="false" ht="15" hidden="false" customHeight="false" outlineLevel="0" collapsed="false">
      <c r="B19" s="4" t="s">
        <v>24</v>
      </c>
    </row>
    <row r="20" customFormat="false" ht="15" hidden="false" customHeight="false" outlineLevel="0" collapsed="false">
      <c r="B20" s="4" t="s">
        <v>25</v>
      </c>
    </row>
    <row r="21" customFormat="false" ht="15" hidden="false" customHeight="false" outlineLevel="0" collapsed="false">
      <c r="B21" s="4" t="s">
        <v>26</v>
      </c>
    </row>
    <row r="22" customFormat="false" ht="15" hidden="false" customHeight="false" outlineLevel="0" collapsed="false">
      <c r="B22" s="4" t="s">
        <v>27</v>
      </c>
    </row>
    <row r="23" customFormat="false" ht="15" hidden="false" customHeight="false" outlineLevel="0" collapsed="false">
      <c r="B23" s="4" t="s">
        <v>28</v>
      </c>
    </row>
    <row r="24" customFormat="false" ht="15" hidden="false" customHeight="false" outlineLevel="0" collapsed="false">
      <c r="B24" s="4" t="s">
        <v>29</v>
      </c>
    </row>
    <row r="26" customFormat="false" ht="15" hidden="false" customHeight="false" outlineLevel="0" collapsed="false">
      <c r="A26" s="5" t="s">
        <v>30</v>
      </c>
    </row>
    <row r="27" customFormat="false" ht="15" hidden="false" customHeight="false" outlineLevel="0" collapsed="false">
      <c r="A27" s="6" t="s">
        <v>31</v>
      </c>
      <c r="B27" s="7" t="s">
        <v>32</v>
      </c>
    </row>
    <row r="28" customFormat="false" ht="15" hidden="false" customHeight="false" outlineLevel="0" collapsed="false">
      <c r="A28" s="6" t="s">
        <v>33</v>
      </c>
      <c r="B28" s="7" t="s">
        <v>34</v>
      </c>
    </row>
    <row r="29" customFormat="false" ht="15" hidden="false" customHeight="false" outlineLevel="0" collapsed="false">
      <c r="A29" s="6" t="s">
        <v>35</v>
      </c>
      <c r="B29" s="7" t="s">
        <v>36</v>
      </c>
    </row>
    <row r="30" customFormat="false" ht="15" hidden="false" customHeight="false" outlineLevel="0" collapsed="false">
      <c r="A30" s="6" t="s">
        <v>37</v>
      </c>
      <c r="B30" s="7" t="s">
        <v>38</v>
      </c>
    </row>
    <row r="31" customFormat="false" ht="15" hidden="false" customHeight="false" outlineLevel="0" collapsed="false">
      <c r="A31" s="6" t="s">
        <v>39</v>
      </c>
      <c r="B31" s="7" t="s">
        <v>40</v>
      </c>
    </row>
    <row r="32" customFormat="false" ht="15" hidden="false" customHeight="false" outlineLevel="0" collapsed="false">
      <c r="A32" s="6" t="s">
        <v>41</v>
      </c>
      <c r="B32" s="7" t="s">
        <v>42</v>
      </c>
    </row>
    <row r="33" customFormat="false" ht="15" hidden="false" customHeight="false" outlineLevel="0" collapsed="false">
      <c r="A33" s="6" t="s">
        <v>43</v>
      </c>
      <c r="B33" s="7" t="s">
        <v>44</v>
      </c>
    </row>
    <row r="34" customFormat="false" ht="15" hidden="false" customHeight="false" outlineLevel="0" collapsed="false">
      <c r="A34" s="6" t="s">
        <v>45</v>
      </c>
      <c r="B34" s="7" t="s">
        <v>46</v>
      </c>
    </row>
    <row r="35" customFormat="false" ht="15" hidden="false" customHeight="false" outlineLevel="0" collapsed="false">
      <c r="A35" s="6" t="s">
        <v>47</v>
      </c>
      <c r="B35" s="7" t="s">
        <v>48</v>
      </c>
    </row>
    <row r="36" customFormat="false" ht="15" hidden="false" customHeight="false" outlineLevel="0" collapsed="false">
      <c r="A36" s="6" t="s">
        <v>49</v>
      </c>
      <c r="B36" s="7" t="s">
        <v>50</v>
      </c>
    </row>
    <row r="37" customFormat="false" ht="15" hidden="false" customHeight="false" outlineLevel="0" collapsed="false">
      <c r="A37" s="6" t="s">
        <v>51</v>
      </c>
      <c r="B37" s="7" t="s">
        <v>52</v>
      </c>
    </row>
    <row r="38" customFormat="false" ht="15" hidden="false" customHeight="false" outlineLevel="0" collapsed="false">
      <c r="A38" s="6" t="s">
        <v>53</v>
      </c>
      <c r="B38" s="7" t="s">
        <v>54</v>
      </c>
    </row>
    <row r="39" customFormat="false" ht="15" hidden="false" customHeight="false" outlineLevel="0" collapsed="false">
      <c r="A39" s="6" t="s">
        <v>55</v>
      </c>
      <c r="B39" s="7" t="s">
        <v>56</v>
      </c>
    </row>
    <row r="40" customFormat="false" ht="15" hidden="false" customHeight="false" outlineLevel="0" collapsed="false">
      <c r="A40" s="6" t="s">
        <v>57</v>
      </c>
      <c r="B40" s="7" t="s">
        <v>58</v>
      </c>
    </row>
    <row r="41" customFormat="false" ht="15" hidden="false" customHeight="false" outlineLevel="0" collapsed="false">
      <c r="A41" s="6" t="s">
        <v>59</v>
      </c>
      <c r="B41" s="7" t="s">
        <v>60</v>
      </c>
    </row>
    <row r="42" customFormat="false" ht="15" hidden="false" customHeight="false" outlineLevel="0" collapsed="false">
      <c r="A42" s="6" t="s">
        <v>61</v>
      </c>
      <c r="B42" s="7" t="s">
        <v>62</v>
      </c>
    </row>
    <row r="43" customFormat="false" ht="15" hidden="false" customHeight="false" outlineLevel="0" collapsed="false">
      <c r="A43" s="6" t="s">
        <v>63</v>
      </c>
      <c r="B43" s="7" t="s">
        <v>64</v>
      </c>
    </row>
    <row r="44" customFormat="false" ht="15" hidden="false" customHeight="false" outlineLevel="0" collapsed="false">
      <c r="A44" s="6" t="s">
        <v>65</v>
      </c>
      <c r="B44" s="7" t="s">
        <v>66</v>
      </c>
    </row>
    <row r="45" customFormat="false" ht="15" hidden="false" customHeight="false" outlineLevel="0" collapsed="false">
      <c r="A45" s="6" t="s">
        <v>67</v>
      </c>
      <c r="B45" s="7" t="s">
        <v>68</v>
      </c>
    </row>
    <row r="46" customFormat="false" ht="15" hidden="false" customHeight="false" outlineLevel="0" collapsed="false">
      <c r="A46" s="6" t="s">
        <v>69</v>
      </c>
      <c r="B46" s="7" t="s">
        <v>70</v>
      </c>
    </row>
    <row r="47" customFormat="false" ht="15" hidden="false" customHeight="false" outlineLevel="0" collapsed="false">
      <c r="A47" s="6" t="s">
        <v>71</v>
      </c>
      <c r="B47" s="7" t="s">
        <v>72</v>
      </c>
    </row>
    <row r="48" customFormat="false" ht="15" hidden="false" customHeight="false" outlineLevel="0" collapsed="false">
      <c r="A48" s="6" t="s">
        <v>73</v>
      </c>
      <c r="B48" s="7" t="s">
        <v>74</v>
      </c>
    </row>
    <row r="49" customFormat="false" ht="15" hidden="false" customHeight="false" outlineLevel="0" collapsed="false">
      <c r="A49" s="6" t="s">
        <v>75</v>
      </c>
      <c r="B49" s="7" t="s">
        <v>76</v>
      </c>
    </row>
    <row r="50" customFormat="false" ht="15" hidden="false" customHeight="false" outlineLevel="0" collapsed="false">
      <c r="A50" s="6" t="s">
        <v>77</v>
      </c>
      <c r="B50" s="7" t="s">
        <v>78</v>
      </c>
    </row>
    <row r="51" customFormat="false" ht="15" hidden="false" customHeight="false" outlineLevel="0" collapsed="false">
      <c r="A51" s="6" t="s">
        <v>79</v>
      </c>
      <c r="B51" s="7" t="s">
        <v>80</v>
      </c>
    </row>
    <row r="52" customFormat="false" ht="15" hidden="false" customHeight="false" outlineLevel="0" collapsed="false">
      <c r="A52" s="6" t="s">
        <v>81</v>
      </c>
      <c r="B52" s="7" t="s">
        <v>82</v>
      </c>
    </row>
    <row r="53" customFormat="false" ht="15" hidden="false" customHeight="false" outlineLevel="0" collapsed="false">
      <c r="A53" s="6" t="s">
        <v>83</v>
      </c>
      <c r="B53" s="7" t="s">
        <v>84</v>
      </c>
    </row>
    <row r="54" customFormat="false" ht="15" hidden="false" customHeight="false" outlineLevel="0" collapsed="false">
      <c r="A54" s="6" t="s">
        <v>85</v>
      </c>
      <c r="B54" s="7" t="s">
        <v>86</v>
      </c>
    </row>
    <row r="55" customFormat="false" ht="15" hidden="false" customHeight="false" outlineLevel="0" collapsed="false">
      <c r="A55" s="6" t="s">
        <v>87</v>
      </c>
      <c r="B55" s="7" t="s">
        <v>88</v>
      </c>
    </row>
    <row r="56" customFormat="false" ht="15" hidden="false" customHeight="false" outlineLevel="0" collapsed="false">
      <c r="A56" s="6" t="s">
        <v>89</v>
      </c>
      <c r="B56" s="7" t="s">
        <v>90</v>
      </c>
    </row>
    <row r="57" customFormat="false" ht="15" hidden="false" customHeight="false" outlineLevel="0" collapsed="false">
      <c r="A57" s="6" t="s">
        <v>91</v>
      </c>
      <c r="B57" s="7" t="s">
        <v>92</v>
      </c>
    </row>
    <row r="58" customFormat="false" ht="15" hidden="false" customHeight="false" outlineLevel="0" collapsed="false">
      <c r="A58" s="6" t="s">
        <v>93</v>
      </c>
      <c r="B58" s="7" t="s">
        <v>94</v>
      </c>
    </row>
    <row r="59" customFormat="false" ht="15" hidden="false" customHeight="false" outlineLevel="0" collapsed="false">
      <c r="A59" s="6" t="s">
        <v>95</v>
      </c>
      <c r="B59" s="7" t="s">
        <v>96</v>
      </c>
    </row>
    <row r="60" customFormat="false" ht="15" hidden="false" customHeight="false" outlineLevel="0" collapsed="false">
      <c r="A60" s="6" t="s">
        <v>97</v>
      </c>
      <c r="B60" s="7" t="s">
        <v>98</v>
      </c>
    </row>
    <row r="61" customFormat="false" ht="15" hidden="false" customHeight="false" outlineLevel="0" collapsed="false">
      <c r="A61" s="6" t="s">
        <v>99</v>
      </c>
      <c r="B61" s="7" t="s">
        <v>100</v>
      </c>
    </row>
    <row r="62" customFormat="false" ht="15" hidden="false" customHeight="false" outlineLevel="0" collapsed="false">
      <c r="A62" s="6" t="s">
        <v>101</v>
      </c>
      <c r="B62" s="7" t="s">
        <v>102</v>
      </c>
    </row>
    <row r="63" customFormat="false" ht="15" hidden="false" customHeight="false" outlineLevel="0" collapsed="false">
      <c r="A63" s="6" t="s">
        <v>103</v>
      </c>
      <c r="B63" s="7" t="s">
        <v>104</v>
      </c>
    </row>
    <row r="64" customFormat="false" ht="15" hidden="false" customHeight="false" outlineLevel="0" collapsed="false">
      <c r="A64" s="6" t="s">
        <v>105</v>
      </c>
      <c r="B64" s="7" t="s">
        <v>106</v>
      </c>
    </row>
    <row r="65" customFormat="false" ht="15" hidden="false" customHeight="false" outlineLevel="0" collapsed="false">
      <c r="A65" s="6" t="s">
        <v>107</v>
      </c>
      <c r="B65" s="7" t="s">
        <v>108</v>
      </c>
    </row>
    <row r="66" customFormat="false" ht="15" hidden="false" customHeight="false" outlineLevel="0" collapsed="false">
      <c r="A66" s="6" t="s">
        <v>109</v>
      </c>
      <c r="B66" s="7" t="s">
        <v>110</v>
      </c>
    </row>
    <row r="67" customFormat="false" ht="15" hidden="false" customHeight="false" outlineLevel="0" collapsed="false">
      <c r="A67" s="6" t="s">
        <v>111</v>
      </c>
      <c r="B67" s="7" t="s">
        <v>112</v>
      </c>
    </row>
    <row r="68" customFormat="false" ht="15" hidden="false" customHeight="false" outlineLevel="0" collapsed="false">
      <c r="A68" s="6" t="s">
        <v>113</v>
      </c>
      <c r="B68" s="7" t="s">
        <v>114</v>
      </c>
    </row>
    <row r="69" customFormat="false" ht="15" hidden="false" customHeight="false" outlineLevel="0" collapsed="false">
      <c r="A69" s="6" t="s">
        <v>115</v>
      </c>
      <c r="B69" s="7" t="s">
        <v>116</v>
      </c>
    </row>
    <row r="70" customFormat="false" ht="15" hidden="false" customHeight="false" outlineLevel="0" collapsed="false">
      <c r="A70" s="6" t="s">
        <v>117</v>
      </c>
      <c r="B70" s="7" t="s">
        <v>118</v>
      </c>
    </row>
    <row r="71" customFormat="false" ht="15" hidden="false" customHeight="false" outlineLevel="0" collapsed="false">
      <c r="A71" s="6" t="s">
        <v>119</v>
      </c>
      <c r="B71" s="7" t="s">
        <v>120</v>
      </c>
    </row>
    <row r="72" customFormat="false" ht="15" hidden="false" customHeight="false" outlineLevel="0" collapsed="false">
      <c r="A72" s="6" t="s">
        <v>121</v>
      </c>
      <c r="B72" s="7" t="s">
        <v>122</v>
      </c>
    </row>
    <row r="73" customFormat="false" ht="15" hidden="false" customHeight="false" outlineLevel="0" collapsed="false">
      <c r="A73" s="6" t="s">
        <v>123</v>
      </c>
      <c r="B73" s="7" t="s">
        <v>124</v>
      </c>
    </row>
    <row r="74" customFormat="false" ht="15" hidden="false" customHeight="false" outlineLevel="0" collapsed="false">
      <c r="A74" s="6" t="s">
        <v>125</v>
      </c>
      <c r="B74" s="7" t="s">
        <v>126</v>
      </c>
    </row>
    <row r="75" customFormat="false" ht="15" hidden="false" customHeight="false" outlineLevel="0" collapsed="false">
      <c r="A75" s="6" t="s">
        <v>127</v>
      </c>
      <c r="B75" s="7" t="s">
        <v>128</v>
      </c>
    </row>
    <row r="76" customFormat="false" ht="15" hidden="false" customHeight="false" outlineLevel="0" collapsed="false">
      <c r="A76" s="6" t="s">
        <v>129</v>
      </c>
      <c r="B76" s="7" t="s">
        <v>130</v>
      </c>
    </row>
    <row r="77" customFormat="false" ht="15" hidden="false" customHeight="false" outlineLevel="0" collapsed="false">
      <c r="A77" s="6" t="s">
        <v>131</v>
      </c>
      <c r="B77" s="7" t="s">
        <v>132</v>
      </c>
    </row>
    <row r="78" customFormat="false" ht="15" hidden="false" customHeight="false" outlineLevel="0" collapsed="false">
      <c r="A78" s="6" t="s">
        <v>133</v>
      </c>
      <c r="B78" s="7" t="s">
        <v>134</v>
      </c>
    </row>
    <row r="79" customFormat="false" ht="15" hidden="false" customHeight="false" outlineLevel="0" collapsed="false">
      <c r="A79" s="6" t="s">
        <v>135</v>
      </c>
      <c r="B79" s="7" t="s">
        <v>136</v>
      </c>
    </row>
    <row r="80" customFormat="false" ht="15" hidden="false" customHeight="false" outlineLevel="0" collapsed="false">
      <c r="A80" s="6" t="s">
        <v>137</v>
      </c>
      <c r="B80" s="7" t="s">
        <v>138</v>
      </c>
    </row>
    <row r="81" customFormat="false" ht="15" hidden="false" customHeight="false" outlineLevel="0" collapsed="false">
      <c r="A81" s="6" t="s">
        <v>139</v>
      </c>
      <c r="B81" s="7" t="s">
        <v>140</v>
      </c>
    </row>
    <row r="82" customFormat="false" ht="15" hidden="false" customHeight="false" outlineLevel="0" collapsed="false">
      <c r="A82" s="6" t="s">
        <v>141</v>
      </c>
      <c r="B82" s="7" t="s">
        <v>142</v>
      </c>
    </row>
    <row r="83" customFormat="false" ht="15" hidden="false" customHeight="false" outlineLevel="0" collapsed="false">
      <c r="A83" s="6" t="s">
        <v>143</v>
      </c>
      <c r="B83" s="7" t="s">
        <v>144</v>
      </c>
    </row>
    <row r="84" customFormat="false" ht="15" hidden="false" customHeight="false" outlineLevel="0" collapsed="false">
      <c r="A84" s="6" t="s">
        <v>145</v>
      </c>
      <c r="B84" s="7" t="s">
        <v>146</v>
      </c>
    </row>
    <row r="85" customFormat="false" ht="15" hidden="false" customHeight="false" outlineLevel="0" collapsed="false">
      <c r="A85" s="6" t="s">
        <v>147</v>
      </c>
      <c r="B85" s="7" t="s">
        <v>148</v>
      </c>
    </row>
    <row r="86" customFormat="false" ht="15" hidden="false" customHeight="false" outlineLevel="0" collapsed="false">
      <c r="A86" s="6" t="s">
        <v>149</v>
      </c>
      <c r="B86" s="7" t="s">
        <v>150</v>
      </c>
    </row>
    <row r="87" customFormat="false" ht="15" hidden="false" customHeight="false" outlineLevel="0" collapsed="false">
      <c r="A87" s="6" t="s">
        <v>151</v>
      </c>
      <c r="B87" s="7" t="s">
        <v>152</v>
      </c>
    </row>
    <row r="88" customFormat="false" ht="15" hidden="false" customHeight="false" outlineLevel="0" collapsed="false">
      <c r="A88" s="6" t="s">
        <v>153</v>
      </c>
      <c r="B88" s="7" t="s">
        <v>154</v>
      </c>
    </row>
    <row r="89" customFormat="false" ht="15" hidden="false" customHeight="false" outlineLevel="0" collapsed="false">
      <c r="A89" s="6" t="s">
        <v>155</v>
      </c>
      <c r="B89" s="7" t="s">
        <v>156</v>
      </c>
    </row>
    <row r="90" customFormat="false" ht="15" hidden="false" customHeight="false" outlineLevel="0" collapsed="false">
      <c r="A90" s="6" t="s">
        <v>157</v>
      </c>
      <c r="B90" s="7" t="s">
        <v>158</v>
      </c>
    </row>
    <row r="91" customFormat="false" ht="15" hidden="false" customHeight="false" outlineLevel="0" collapsed="false">
      <c r="A91" s="6" t="s">
        <v>159</v>
      </c>
      <c r="B91" s="7" t="s">
        <v>160</v>
      </c>
    </row>
    <row r="92" customFormat="false" ht="15" hidden="false" customHeight="false" outlineLevel="0" collapsed="false">
      <c r="A92" s="6" t="s">
        <v>161</v>
      </c>
      <c r="B92" s="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10" min="8" style="0" width="11"/>
    <col collapsed="false" customWidth="true" hidden="false" outlineLevel="0" max="11" min="11" style="0" width="13"/>
    <col collapsed="false" customWidth="true" hidden="false" outlineLevel="0" max="12" min="12" style="0" width="38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8" t="s">
        <v>164</v>
      </c>
    </row>
    <row r="3" customFormat="false" ht="15" hidden="false" customHeight="false" outlineLevel="0" collapsed="false">
      <c r="A3" s="6" t="s">
        <v>165</v>
      </c>
      <c r="F3" s="9" t="n">
        <v>0.75</v>
      </c>
      <c r="G3" s="10" t="s">
        <v>166</v>
      </c>
    </row>
    <row r="5" customFormat="false" ht="45" hidden="false" customHeight="true" outlineLevel="0" collapsed="false">
      <c r="A5" s="2" t="s">
        <v>167</v>
      </c>
      <c r="B5" s="2" t="s">
        <v>168</v>
      </c>
      <c r="C5" s="2" t="s">
        <v>169</v>
      </c>
      <c r="D5" s="2" t="s">
        <v>170</v>
      </c>
      <c r="E5" s="2" t="s">
        <v>171</v>
      </c>
      <c r="F5" s="2" t="s">
        <v>172</v>
      </c>
      <c r="G5" s="2" t="s">
        <v>173</v>
      </c>
      <c r="H5" s="2" t="s">
        <v>174</v>
      </c>
      <c r="I5" s="2" t="s">
        <v>175</v>
      </c>
      <c r="J5" s="2" t="s">
        <v>176</v>
      </c>
      <c r="K5" s="2" t="s">
        <v>177</v>
      </c>
      <c r="L5" s="2" t="s">
        <v>178</v>
      </c>
    </row>
    <row r="6" customFormat="false" ht="15" hidden="false" customHeight="false" outlineLevel="0" collapsed="false">
      <c r="A6" s="11" t="s">
        <v>117</v>
      </c>
      <c r="B6" s="12" t="s">
        <v>118</v>
      </c>
      <c r="C6" s="13" t="s">
        <v>179</v>
      </c>
      <c r="D6" s="14" t="n">
        <f aca="false">INDEX('League Per Game'!$T$5:$T$16,MATCH("Shepparton United",'League Per Game'!$A$5:$A$16,0))</f>
        <v>49.6</v>
      </c>
      <c r="E6" s="15" t="n">
        <f aca="false">INDEX('League Per Game'!$T$5:$T$16,MATCH("Echuca",'League Per Game'!$A$5:$A$16,0))</f>
        <v>66</v>
      </c>
      <c r="F6" s="16" t="n">
        <f aca="false">AVERAGE('League Per Game'!$T$5:$T$16)</f>
        <v>56.1083333333333</v>
      </c>
      <c r="G6" s="16" t="n">
        <f aca="false">E6-D6</f>
        <v>16.4</v>
      </c>
      <c r="H6" s="17" t="n">
        <f aca="false">IF(D6=0,"",G6/D6)</f>
        <v>0.330645161290323</v>
      </c>
      <c r="I6" s="12" t="n">
        <f aca="false">IF(C6="N",RANK(D6,'League Per Game'!$T$5:$T$16,1),RANK(D6,'League Per Game'!$T$5:$T$16,0))</f>
        <v>12</v>
      </c>
      <c r="J6" s="12" t="n">
        <f aca="false">IF(C6="N",RANK(E6,'League Per Game'!$T$5:$T$16,1),RANK(E6,'League Per Game'!$T$5:$T$16,0))</f>
        <v>1</v>
      </c>
      <c r="K6" s="18" t="n">
        <f aca="false">IF(OR(C6="?",STDEVP('League Per Game'!$T$5:$T$16)=0),"",IF(C6="N",-1,1)*G6/STDEVP('League Per Game'!$T$5:$T$16))</f>
        <v>3.21935430086132</v>
      </c>
      <c r="L6" s="12" t="str">
        <f aca="false">IF(K6="","Context only (no clear better direction)",IF(K6&gt;=$F$3,"PRIORITY: Echuca well ahead",IF(K6&gt;0,"Echuca ahead",IF(K6&lt;=-$F$3,"United strength","United ahead or level"))))</f>
        <v>PRIORITY: Echuca well ahead</v>
      </c>
    </row>
    <row r="7" customFormat="false" ht="15" hidden="false" customHeight="false" outlineLevel="0" collapsed="false">
      <c r="A7" s="11" t="s">
        <v>147</v>
      </c>
      <c r="B7" s="12" t="s">
        <v>148</v>
      </c>
      <c r="C7" s="13" t="s">
        <v>179</v>
      </c>
      <c r="D7" s="14" t="n">
        <f aca="false">INDEX('League Per Game'!$AM$5:$AM$16,MATCH("Shepparton United",'League Per Game'!$A$5:$A$16,0))</f>
        <v>3.2</v>
      </c>
      <c r="E7" s="15" t="n">
        <f aca="false">INDEX('League Per Game'!$AM$5:$AM$16,MATCH("Echuca",'League Per Game'!$A$5:$A$16,0))</f>
        <v>6</v>
      </c>
      <c r="F7" s="16" t="n">
        <f aca="false">AVERAGE('League Per Game'!$AM$5:$AM$16)</f>
        <v>4.30833333333333</v>
      </c>
      <c r="G7" s="16" t="n">
        <f aca="false">E7-D7</f>
        <v>2.8</v>
      </c>
      <c r="H7" s="17" t="n">
        <f aca="false">IF(D7=0,"",G7/D7)</f>
        <v>0.875</v>
      </c>
      <c r="I7" s="12" t="n">
        <f aca="false">IF(C7="N",RANK(D7,'League Per Game'!$AM$5:$AM$16,1),RANK(D7,'League Per Game'!$AM$5:$AM$16,0))</f>
        <v>11</v>
      </c>
      <c r="J7" s="12" t="n">
        <f aca="false">IF(C7="N",RANK(E7,'League Per Game'!$AM$5:$AM$16,1),RANK(E7,'League Per Game'!$AM$5:$AM$16,0))</f>
        <v>1</v>
      </c>
      <c r="K7" s="18" t="n">
        <f aca="false">IF(OR(C7="?",STDEVP('League Per Game'!$AM$5:$AM$16)=0),"",IF(C7="N",-1,1)*G7/STDEVP('League Per Game'!$AM$5:$AM$16))</f>
        <v>3.1128462913067</v>
      </c>
      <c r="L7" s="12" t="str">
        <f aca="false">IF(K7="","Context only (no clear better direction)",IF(K7&gt;=$F$3,"PRIORITY: Echuca well ahead",IF(K7&gt;0,"Echuca ahead",IF(K7&lt;=-$F$3,"United strength","United ahead or level"))))</f>
        <v>PRIORITY: Echuca well ahead</v>
      </c>
    </row>
    <row r="8" customFormat="false" ht="15" hidden="false" customHeight="false" outlineLevel="0" collapsed="false">
      <c r="A8" s="11" t="s">
        <v>155</v>
      </c>
      <c r="B8" s="12" t="s">
        <v>156</v>
      </c>
      <c r="C8" s="13" t="s">
        <v>179</v>
      </c>
      <c r="D8" s="14" t="n">
        <f aca="false">INDEX('League Per Game'!$R$5:$R$16,MATCH("Shepparton United",'League Per Game'!$A$5:$A$16,0))</f>
        <v>77.9</v>
      </c>
      <c r="E8" s="15" t="n">
        <f aca="false">INDEX('League Per Game'!$R$5:$R$16,MATCH("Echuca",'League Per Game'!$A$5:$A$16,0))</f>
        <v>100.2</v>
      </c>
      <c r="F8" s="16" t="n">
        <f aca="false">AVERAGE('League Per Game'!$R$5:$R$16)</f>
        <v>86.9166666666667</v>
      </c>
      <c r="G8" s="16" t="n">
        <f aca="false">E8-D8</f>
        <v>22.3</v>
      </c>
      <c r="H8" s="17" t="n">
        <f aca="false">IF(D8=0,"",G8/D8)</f>
        <v>0.286264441591784</v>
      </c>
      <c r="I8" s="12" t="n">
        <f aca="false">IF(C8="N",RANK(D8,'League Per Game'!$R$5:$R$16,1),RANK(D8,'League Per Game'!$R$5:$R$16,0))</f>
        <v>11</v>
      </c>
      <c r="J8" s="12" t="n">
        <f aca="false">IF(C8="N",RANK(E8,'League Per Game'!$R$5:$R$16,1),RANK(E8,'League Per Game'!$R$5:$R$16,0))</f>
        <v>1</v>
      </c>
      <c r="K8" s="18" t="n">
        <f aca="false">IF(OR(C8="?",STDEVP('League Per Game'!$R$5:$R$16)=0),"",IF(C8="N",-1,1)*G8/STDEVP('League Per Game'!$R$5:$R$16))</f>
        <v>3.07828693606687</v>
      </c>
      <c r="L8" s="12" t="str">
        <f aca="false">IF(K8="","Context only (no clear better direction)",IF(K8&gt;=$F$3,"PRIORITY: Echuca well ahead",IF(K8&gt;0,"Echuca ahead",IF(K8&lt;=-$F$3,"United strength","United ahead or level"))))</f>
        <v>PRIORITY: Echuca well ahead</v>
      </c>
    </row>
    <row r="9" customFormat="false" ht="15" hidden="false" customHeight="false" outlineLevel="0" collapsed="false">
      <c r="A9" s="11" t="s">
        <v>31</v>
      </c>
      <c r="B9" s="12" t="s">
        <v>32</v>
      </c>
      <c r="C9" s="13" t="s">
        <v>179</v>
      </c>
      <c r="D9" s="14" t="n">
        <f aca="false">INDEX('League Per Game'!$AF$5:$AF$16,MATCH("Shepparton United",'League Per Game'!$A$5:$A$16,0))</f>
        <v>36.3</v>
      </c>
      <c r="E9" s="15" t="n">
        <f aca="false">INDEX('League Per Game'!$AF$5:$AF$16,MATCH("Echuca",'League Per Game'!$A$5:$A$16,0))</f>
        <v>45.4</v>
      </c>
      <c r="F9" s="16" t="n">
        <f aca="false">AVERAGE('League Per Game'!$AF$5:$AF$16)</f>
        <v>43.3083333333333</v>
      </c>
      <c r="G9" s="16" t="n">
        <f aca="false">E9-D9</f>
        <v>9.1</v>
      </c>
      <c r="H9" s="17" t="n">
        <f aca="false">IF(D9=0,"",G9/D9)</f>
        <v>0.25068870523416</v>
      </c>
      <c r="I9" s="12" t="n">
        <f aca="false">IF(C9="N",RANK(D9,'League Per Game'!$AF$5:$AF$16,1),RANK(D9,'League Per Game'!$AF$5:$AF$16,0))</f>
        <v>12</v>
      </c>
      <c r="J9" s="12" t="n">
        <f aca="false">IF(C9="N",RANK(E9,'League Per Game'!$AF$5:$AF$16,1),RANK(E9,'League Per Game'!$AF$5:$AF$16,0))</f>
        <v>4</v>
      </c>
      <c r="K9" s="18" t="n">
        <f aca="false">IF(OR(C9="?",STDEVP('League Per Game'!$AF$5:$AF$16)=0),"",IF(C9="N",-1,1)*G9/STDEVP('League Per Game'!$AF$5:$AF$16))</f>
        <v>2.78033663709683</v>
      </c>
      <c r="L9" s="12" t="str">
        <f aca="false">IF(K9="","Context only (no clear better direction)",IF(K9&gt;=$F$3,"PRIORITY: Echuca well ahead",IF(K9&gt;0,"Echuca ahead",IF(K9&lt;=-$F$3,"United strength","United ahead or level"))))</f>
        <v>PRIORITY: Echuca well ahead</v>
      </c>
    </row>
    <row r="10" customFormat="false" ht="15" hidden="false" customHeight="false" outlineLevel="0" collapsed="false">
      <c r="A10" s="11" t="s">
        <v>49</v>
      </c>
      <c r="B10" s="12" t="s">
        <v>50</v>
      </c>
      <c r="C10" s="13" t="s">
        <v>179</v>
      </c>
      <c r="D10" s="14" t="n">
        <f aca="false">INDEX('League Per Game'!$G$5:$G$16,MATCH("Shepparton United",'League Per Game'!$A$5:$A$16,0))</f>
        <v>128.9</v>
      </c>
      <c r="E10" s="15" t="n">
        <f aca="false">INDEX('League Per Game'!$G$5:$G$16,MATCH("Echuca",'League Per Game'!$A$5:$A$16,0))</f>
        <v>152.9</v>
      </c>
      <c r="F10" s="16" t="n">
        <f aca="false">AVERAGE('League Per Game'!$G$5:$G$16)</f>
        <v>136.558333333333</v>
      </c>
      <c r="G10" s="16" t="n">
        <f aca="false">E10-D10</f>
        <v>24</v>
      </c>
      <c r="H10" s="17" t="n">
        <f aca="false">IF(D10=0,"",G10/D10)</f>
        <v>0.186190845616757</v>
      </c>
      <c r="I10" s="12" t="n">
        <f aca="false">IF(C10="N",RANK(D10,'League Per Game'!$G$5:$G$16,1),RANK(D10,'League Per Game'!$G$5:$G$16,0))</f>
        <v>8</v>
      </c>
      <c r="J10" s="12" t="n">
        <f aca="false">IF(C10="N",RANK(E10,'League Per Game'!$G$5:$G$16,1),RANK(E10,'League Per Game'!$G$5:$G$16,0))</f>
        <v>1</v>
      </c>
      <c r="K10" s="18" t="n">
        <f aca="false">IF(OR(C10="?",STDEVP('League Per Game'!$G$5:$G$16)=0),"",IF(C10="N",-1,1)*G10/STDEVP('League Per Game'!$G$5:$G$16))</f>
        <v>2.61004619236395</v>
      </c>
      <c r="L10" s="12" t="str">
        <f aca="false">IF(K10="","Context only (no clear better direction)",IF(K10&gt;=$F$3,"PRIORITY: Echuca well ahead",IF(K10&gt;0,"Echuca ahead",IF(K10&lt;=-$F$3,"United strength","United ahead or level"))))</f>
        <v>PRIORITY: Echuca well ahead</v>
      </c>
    </row>
    <row r="11" customFormat="false" ht="15" hidden="false" customHeight="false" outlineLevel="0" collapsed="false">
      <c r="A11" s="11" t="s">
        <v>127</v>
      </c>
      <c r="B11" s="12" t="s">
        <v>128</v>
      </c>
      <c r="C11" s="13" t="s">
        <v>179</v>
      </c>
      <c r="D11" s="14" t="n">
        <f aca="false">INDEX('League Per Game'!$AK$5:$AK$16,MATCH("Shepparton United",'League Per Game'!$A$5:$A$16,0))</f>
        <v>105.2</v>
      </c>
      <c r="E11" s="15" t="n">
        <f aca="false">INDEX('League Per Game'!$AK$5:$AK$16,MATCH("Echuca",'League Per Game'!$A$5:$A$16,0))</f>
        <v>129.4</v>
      </c>
      <c r="F11" s="16" t="n">
        <f aca="false">AVERAGE('League Per Game'!$AK$5:$AK$16)</f>
        <v>124.216666666667</v>
      </c>
      <c r="G11" s="16" t="n">
        <f aca="false">E11-D11</f>
        <v>24.2</v>
      </c>
      <c r="H11" s="17" t="n">
        <f aca="false">IF(D11=0,"",G11/D11)</f>
        <v>0.230038022813688</v>
      </c>
      <c r="I11" s="12" t="n">
        <f aca="false">IF(C11="N",RANK(D11,'League Per Game'!$AK$5:$AK$16,1),RANK(D11,'League Per Game'!$AK$5:$AK$16,0))</f>
        <v>12</v>
      </c>
      <c r="J11" s="12" t="n">
        <f aca="false">IF(C11="N",RANK(E11,'League Per Game'!$AK$5:$AK$16,1),RANK(E11,'League Per Game'!$AK$5:$AK$16,0))</f>
        <v>5</v>
      </c>
      <c r="K11" s="18" t="n">
        <f aca="false">IF(OR(C11="?",STDEVP('League Per Game'!$AK$5:$AK$16)=0),"",IF(C11="N",-1,1)*G11/STDEVP('League Per Game'!$AK$5:$AK$16))</f>
        <v>2.51956163165763</v>
      </c>
      <c r="L11" s="12" t="str">
        <f aca="false">IF(K11="","Context only (no clear better direction)",IF(K11&gt;=$F$3,"PRIORITY: Echuca well ahead",IF(K11&gt;0,"Echuca ahead",IF(K11&lt;=-$F$3,"United strength","United ahead or level"))))</f>
        <v>PRIORITY: Echuca well ahead</v>
      </c>
    </row>
    <row r="12" customFormat="false" ht="15" hidden="false" customHeight="false" outlineLevel="0" collapsed="false">
      <c r="A12" s="11" t="s">
        <v>149</v>
      </c>
      <c r="B12" s="12" t="s">
        <v>150</v>
      </c>
      <c r="C12" s="13" t="s">
        <v>179</v>
      </c>
      <c r="D12" s="14" t="n">
        <f aca="false">INDEX('League Per Game'!$AN$5:$AN$16,MATCH("Shepparton United",'League Per Game'!$A$5:$A$16,0))</f>
        <v>13.7</v>
      </c>
      <c r="E12" s="15" t="n">
        <f aca="false">INDEX('League Per Game'!$AN$5:$AN$16,MATCH("Echuca",'League Per Game'!$A$5:$A$16,0))</f>
        <v>19.4</v>
      </c>
      <c r="F12" s="16" t="n">
        <f aca="false">AVERAGE('League Per Game'!$AN$5:$AN$16)</f>
        <v>17.6916666666667</v>
      </c>
      <c r="G12" s="16" t="n">
        <f aca="false">E12-D12</f>
        <v>5.7</v>
      </c>
      <c r="H12" s="17" t="n">
        <f aca="false">IF(D12=0,"",G12/D12)</f>
        <v>0.416058394160584</v>
      </c>
      <c r="I12" s="12" t="n">
        <f aca="false">IF(C12="N",RANK(D12,'League Per Game'!$AN$5:$AN$16,1),RANK(D12,'League Per Game'!$AN$5:$AN$16,0))</f>
        <v>12</v>
      </c>
      <c r="J12" s="12" t="n">
        <f aca="false">IF(C12="N",RANK(E12,'League Per Game'!$AN$5:$AN$16,1),RANK(E12,'League Per Game'!$AN$5:$AN$16,0))</f>
        <v>4</v>
      </c>
      <c r="K12" s="18" t="n">
        <f aca="false">IF(OR(C12="?",STDEVP('League Per Game'!$AN$5:$AN$16)=0),"",IF(C12="N",-1,1)*G12/STDEVP('League Per Game'!$AN$5:$AN$16))</f>
        <v>2.39150606273965</v>
      </c>
      <c r="L12" s="12" t="str">
        <f aca="false">IF(K12="","Context only (no clear better direction)",IF(K12&gt;=$F$3,"PRIORITY: Echuca well ahead",IF(K12&gt;0,"Echuca ahead",IF(K12&lt;=-$F$3,"United strength","United ahead or level"))))</f>
        <v>PRIORITY: Echuca well ahead</v>
      </c>
    </row>
    <row r="13" customFormat="false" ht="15" hidden="false" customHeight="false" outlineLevel="0" collapsed="false">
      <c r="A13" s="11" t="s">
        <v>123</v>
      </c>
      <c r="B13" s="12" t="s">
        <v>124</v>
      </c>
      <c r="C13" s="13" t="s">
        <v>179</v>
      </c>
      <c r="D13" s="14" t="n">
        <f aca="false">INDEX('League Per Game'!$AP$5:$AP$16,MATCH("Shepparton United",'League Per Game'!$A$5:$A$16,0))</f>
        <v>34.3</v>
      </c>
      <c r="E13" s="15" t="n">
        <f aca="false">INDEX('League Per Game'!$AP$5:$AP$16,MATCH("Echuca",'League Per Game'!$A$5:$A$16,0))</f>
        <v>42.9</v>
      </c>
      <c r="F13" s="16" t="n">
        <f aca="false">AVERAGE('League Per Game'!$AP$5:$AP$16)</f>
        <v>38.1916666666667</v>
      </c>
      <c r="G13" s="16" t="n">
        <f aca="false">E13-D13</f>
        <v>8.6</v>
      </c>
      <c r="H13" s="17" t="n">
        <f aca="false">IF(D13=0,"",G13/D13)</f>
        <v>0.250728862973761</v>
      </c>
      <c r="I13" s="12" t="n">
        <f aca="false">IF(C13="N",RANK(D13,'League Per Game'!$AP$5:$AP$16,1),RANK(D13,'League Per Game'!$AP$5:$AP$16,0))</f>
        <v>10</v>
      </c>
      <c r="J13" s="12" t="n">
        <f aca="false">IF(C13="N",RANK(E13,'League Per Game'!$AP$5:$AP$16,1),RANK(E13,'League Per Game'!$AP$5:$AP$16,0))</f>
        <v>2</v>
      </c>
      <c r="K13" s="18" t="n">
        <f aca="false">IF(OR(C13="?",STDEVP('League Per Game'!$AP$5:$AP$16)=0),"",IF(C13="N",-1,1)*G13/STDEVP('League Per Game'!$AP$5:$AP$16))</f>
        <v>2.28765232333749</v>
      </c>
      <c r="L13" s="12" t="str">
        <f aca="false">IF(K13="","Context only (no clear better direction)",IF(K13&gt;=$F$3,"PRIORITY: Echuca well ahead",IF(K13&gt;0,"Echuca ahead",IF(K13&lt;=-$F$3,"United strength","United ahead or level"))))</f>
        <v>PRIORITY: Echuca well ahead</v>
      </c>
    </row>
    <row r="14" customFormat="false" ht="15" hidden="false" customHeight="false" outlineLevel="0" collapsed="false">
      <c r="A14" s="11" t="s">
        <v>157</v>
      </c>
      <c r="B14" s="12" t="s">
        <v>158</v>
      </c>
      <c r="C14" s="13" t="s">
        <v>179</v>
      </c>
      <c r="D14" s="14" t="n">
        <f aca="false">INDEX('League Per Game'!$AB$5:$AB$16,MATCH("Shepparton United",'League Per Game'!$A$5:$A$16,0))</f>
        <v>11.7</v>
      </c>
      <c r="E14" s="15" t="n">
        <f aca="false">INDEX('League Per Game'!$AB$5:$AB$16,MATCH("Echuca",'League Per Game'!$A$5:$A$16,0))</f>
        <v>12.8</v>
      </c>
      <c r="F14" s="16" t="n">
        <f aca="false">AVERAGE('League Per Game'!$AB$5:$AB$16)</f>
        <v>12.6333333333333</v>
      </c>
      <c r="G14" s="16" t="n">
        <f aca="false">E14-D14</f>
        <v>1.1</v>
      </c>
      <c r="H14" s="17" t="n">
        <f aca="false">IF(D14=0,"",G14/D14)</f>
        <v>0.0940170940170941</v>
      </c>
      <c r="I14" s="12" t="n">
        <f aca="false">IF(C14="N",RANK(D14,'League Per Game'!$AB$5:$AB$16,1),RANK(D14,'League Per Game'!$AB$5:$AB$16,0))</f>
        <v>12</v>
      </c>
      <c r="J14" s="12" t="n">
        <f aca="false">IF(C14="N",RANK(E14,'League Per Game'!$AB$5:$AB$16,1),RANK(E14,'League Per Game'!$AB$5:$AB$16,0))</f>
        <v>4</v>
      </c>
      <c r="K14" s="18" t="n">
        <f aca="false">IF(OR(C14="?",STDEVP('League Per Game'!$AB$5:$AB$16)=0),"",IF(C14="N",-1,1)*G14/STDEVP('League Per Game'!$AB$5:$AB$16))</f>
        <v>1.94285787105123</v>
      </c>
      <c r="L14" s="12" t="str">
        <f aca="false">IF(K14="","Context only (no clear better direction)",IF(K14&gt;=$F$3,"PRIORITY: Echuca well ahead",IF(K14&gt;0,"Echuca ahead",IF(K14&lt;=-$F$3,"United strength","United ahead or level"))))</f>
        <v>PRIORITY: Echuca well ahead</v>
      </c>
    </row>
    <row r="15" customFormat="false" ht="15" hidden="false" customHeight="false" outlineLevel="0" collapsed="false">
      <c r="A15" s="11" t="s">
        <v>151</v>
      </c>
      <c r="B15" s="12" t="s">
        <v>152</v>
      </c>
      <c r="C15" s="13" t="s">
        <v>179</v>
      </c>
      <c r="D15" s="14" t="n">
        <f aca="false">INDEX('League Per Game'!$O$5:$O$16,MATCH("Shepparton United",'League Per Game'!$A$5:$A$16,0))</f>
        <v>55.2</v>
      </c>
      <c r="E15" s="15" t="n">
        <f aca="false">INDEX('League Per Game'!$O$5:$O$16,MATCH("Echuca",'League Per Game'!$A$5:$A$16,0))</f>
        <v>66</v>
      </c>
      <c r="F15" s="16" t="n">
        <f aca="false">AVERAGE('League Per Game'!$O$5:$O$16)</f>
        <v>62.0333333333333</v>
      </c>
      <c r="G15" s="16" t="n">
        <f aca="false">E15-D15</f>
        <v>10.8</v>
      </c>
      <c r="H15" s="17" t="n">
        <f aca="false">IF(D15=0,"",G15/D15)</f>
        <v>0.195652173913043</v>
      </c>
      <c r="I15" s="12" t="n">
        <f aca="false">IF(C15="N",RANK(D15,'League Per Game'!$O$5:$O$16,1),RANK(D15,'League Per Game'!$O$5:$O$16,0))</f>
        <v>10</v>
      </c>
      <c r="J15" s="12" t="n">
        <f aca="false">IF(C15="N",RANK(E15,'League Per Game'!$O$5:$O$16,1),RANK(E15,'League Per Game'!$O$5:$O$16,0))</f>
        <v>4</v>
      </c>
      <c r="K15" s="18" t="n">
        <f aca="false">IF(OR(C15="?",STDEVP('League Per Game'!$O$5:$O$16)=0),"",IF(C15="N",-1,1)*G15/STDEVP('League Per Game'!$O$5:$O$16))</f>
        <v>1.76719678325766</v>
      </c>
      <c r="L15" s="12" t="str">
        <f aca="false">IF(K15="","Context only (no clear better direction)",IF(K15&gt;=$F$3,"PRIORITY: Echuca well ahead",IF(K15&gt;0,"Echuca ahead",IF(K15&lt;=-$F$3,"United strength","United ahead or level"))))</f>
        <v>PRIORITY: Echuca well ahead</v>
      </c>
    </row>
    <row r="16" customFormat="false" ht="15" hidden="false" customHeight="false" outlineLevel="0" collapsed="false">
      <c r="A16" s="11" t="s">
        <v>85</v>
      </c>
      <c r="B16" s="12" t="s">
        <v>86</v>
      </c>
      <c r="C16" s="13" t="s">
        <v>179</v>
      </c>
      <c r="D16" s="14" t="n">
        <f aca="false">INDEX('League Per Game'!$F$5:$F$16,MATCH("Shepparton United",'League Per Game'!$A$5:$A$16,0))</f>
        <v>125.4</v>
      </c>
      <c r="E16" s="15" t="n">
        <f aca="false">INDEX('League Per Game'!$F$5:$F$16,MATCH("Echuca",'League Per Game'!$A$5:$A$16,0))</f>
        <v>142.5</v>
      </c>
      <c r="F16" s="16" t="n">
        <f aca="false">AVERAGE('League Per Game'!$F$5:$F$16)</f>
        <v>129.741666666667</v>
      </c>
      <c r="G16" s="16" t="n">
        <f aca="false">E16-D16</f>
        <v>17.1</v>
      </c>
      <c r="H16" s="17" t="n">
        <f aca="false">IF(D16=0,"",G16/D16)</f>
        <v>0.136363636363636</v>
      </c>
      <c r="I16" s="12" t="n">
        <f aca="false">IF(C16="N",RANK(D16,'League Per Game'!$F$5:$F$16,1),RANK(D16,'League Per Game'!$F$5:$F$16,0))</f>
        <v>8</v>
      </c>
      <c r="J16" s="12" t="n">
        <f aca="false">IF(C16="N",RANK(E16,'League Per Game'!$F$5:$F$16,1),RANK(E16,'League Per Game'!$F$5:$F$16,0))</f>
        <v>1</v>
      </c>
      <c r="K16" s="18" t="n">
        <f aca="false">IF(OR(C16="?",STDEVP('League Per Game'!$F$5:$F$16)=0),"",IF(C16="N",-1,1)*G16/STDEVP('League Per Game'!$F$5:$F$16))</f>
        <v>1.76267650410707</v>
      </c>
      <c r="L16" s="12" t="str">
        <f aca="false">IF(K16="","Context only (no clear better direction)",IF(K16&gt;=$F$3,"PRIORITY: Echuca well ahead",IF(K16&gt;0,"Echuca ahead",IF(K16&lt;=-$F$3,"United strength","United ahead or level"))))</f>
        <v>PRIORITY: Echuca well ahead</v>
      </c>
    </row>
    <row r="17" customFormat="false" ht="15" hidden="false" customHeight="false" outlineLevel="0" collapsed="false">
      <c r="A17" s="11" t="s">
        <v>87</v>
      </c>
      <c r="B17" s="12" t="s">
        <v>88</v>
      </c>
      <c r="C17" s="13" t="s">
        <v>179</v>
      </c>
      <c r="D17" s="14" t="n">
        <f aca="false">INDEX('League Per Game'!$S$5:$S$16,MATCH("Shepparton United",'League Per Game'!$A$5:$A$16,0))</f>
        <v>28.4</v>
      </c>
      <c r="E17" s="15" t="n">
        <f aca="false">INDEX('League Per Game'!$S$5:$S$16,MATCH("Echuca",'League Per Game'!$A$5:$A$16,0))</f>
        <v>34.1</v>
      </c>
      <c r="F17" s="16" t="n">
        <f aca="false">AVERAGE('League Per Game'!$S$5:$S$16)</f>
        <v>30.8166666666667</v>
      </c>
      <c r="G17" s="16" t="n">
        <f aca="false">E17-D17</f>
        <v>5.7</v>
      </c>
      <c r="H17" s="17" t="n">
        <f aca="false">IF(D17=0,"",G17/D17)</f>
        <v>0.200704225352113</v>
      </c>
      <c r="I17" s="12" t="n">
        <f aca="false">IF(C17="N",RANK(D17,'League Per Game'!$S$5:$S$16,1),RANK(D17,'League Per Game'!$S$5:$S$16,0))</f>
        <v>9</v>
      </c>
      <c r="J17" s="12" t="n">
        <f aca="false">IF(C17="N",RANK(E17,'League Per Game'!$S$5:$S$16,1),RANK(E17,'League Per Game'!$S$5:$S$16,0))</f>
        <v>2</v>
      </c>
      <c r="K17" s="18" t="n">
        <f aca="false">IF(OR(C17="?",STDEVP('League Per Game'!$S$5:$S$16)=0),"",IF(C17="N",-1,1)*G17/STDEVP('League Per Game'!$S$5:$S$16))</f>
        <v>1.72928088951909</v>
      </c>
      <c r="L17" s="12" t="str">
        <f aca="false">IF(K17="","Context only (no clear better direction)",IF(K17&gt;=$F$3,"PRIORITY: Echuca well ahead",IF(K17&gt;0,"Echuca ahead",IF(K17&lt;=-$F$3,"United strength","United ahead or level"))))</f>
        <v>PRIORITY: Echuca well ahead</v>
      </c>
    </row>
    <row r="18" customFormat="false" ht="15" hidden="false" customHeight="false" outlineLevel="0" collapsed="false">
      <c r="A18" s="11" t="s">
        <v>77</v>
      </c>
      <c r="B18" s="12" t="s">
        <v>78</v>
      </c>
      <c r="C18" s="13" t="s">
        <v>179</v>
      </c>
      <c r="D18" s="14" t="n">
        <f aca="false">INDEX('League Per Game'!$AS$5:$AS$16,MATCH("Shepparton United",'League Per Game'!$A$5:$A$16,0))</f>
        <v>50</v>
      </c>
      <c r="E18" s="15" t="n">
        <f aca="false">INDEX('League Per Game'!$AS$5:$AS$16,MATCH("Echuca",'League Per Game'!$A$5:$A$16,0))</f>
        <v>53</v>
      </c>
      <c r="F18" s="16" t="n">
        <f aca="false">AVERAGE('League Per Game'!$AS$5:$AS$16)</f>
        <v>49.6666666666667</v>
      </c>
      <c r="G18" s="16" t="n">
        <f aca="false">E18-D18</f>
        <v>3</v>
      </c>
      <c r="H18" s="17" t="n">
        <f aca="false">IF(D18=0,"",G18/D18)</f>
        <v>0.06</v>
      </c>
      <c r="I18" s="12" t="n">
        <f aca="false">IF(C18="N",RANK(D18,'League Per Game'!$AS$5:$AS$16,1),RANK(D18,'League Per Game'!$AS$5:$AS$16,0))</f>
        <v>4</v>
      </c>
      <c r="J18" s="12" t="n">
        <f aca="false">IF(C18="N",RANK(E18,'League Per Game'!$AS$5:$AS$16,1),RANK(E18,'League Per Game'!$AS$5:$AS$16,0))</f>
        <v>1</v>
      </c>
      <c r="K18" s="18" t="n">
        <f aca="false">IF(OR(C18="?",STDEVP('League Per Game'!$AS$5:$AS$16)=0),"",IF(C18="N",-1,1)*G18/STDEVP('League Per Game'!$AS$5:$AS$16))</f>
        <v>1.67125804359347</v>
      </c>
      <c r="L18" s="12" t="str">
        <f aca="false">IF(K18="","Context only (no clear better direction)",IF(K18&gt;=$F$3,"PRIORITY: Echuca well ahead",IF(K18&gt;0,"Echuca ahead",IF(K18&lt;=-$F$3,"United strength","United ahead or level"))))</f>
        <v>PRIORITY: Echuca well ahead</v>
      </c>
    </row>
    <row r="19" customFormat="false" ht="15" hidden="false" customHeight="false" outlineLevel="0" collapsed="false">
      <c r="A19" s="11" t="s">
        <v>103</v>
      </c>
      <c r="B19" s="12" t="s">
        <v>104</v>
      </c>
      <c r="C19" s="13" t="s">
        <v>179</v>
      </c>
      <c r="D19" s="14" t="n">
        <f aca="false">INDEX('League Per Game'!$N$5:$N$16,MATCH("Shepparton United",'League Per Game'!$A$5:$A$16,0))</f>
        <v>68.3</v>
      </c>
      <c r="E19" s="15" t="n">
        <f aca="false">INDEX('League Per Game'!$N$5:$N$16,MATCH("Echuca",'League Per Game'!$A$5:$A$16,0))</f>
        <v>74.2</v>
      </c>
      <c r="F19" s="16" t="n">
        <f aca="false">AVERAGE('League Per Game'!$N$5:$N$16)</f>
        <v>70.15</v>
      </c>
      <c r="G19" s="16" t="n">
        <f aca="false">E19-D19</f>
        <v>5.90000000000001</v>
      </c>
      <c r="H19" s="17" t="n">
        <f aca="false">IF(D19=0,"",G19/D19)</f>
        <v>0.0863836017569547</v>
      </c>
      <c r="I19" s="12" t="n">
        <f aca="false">IF(C19="N",RANK(D19,'League Per Game'!$N$5:$N$16,1),RANK(D19,'League Per Game'!$N$5:$N$16,0))</f>
        <v>8</v>
      </c>
      <c r="J19" s="12" t="n">
        <f aca="false">IF(C19="N",RANK(E19,'League Per Game'!$N$5:$N$16,1),RANK(E19,'League Per Game'!$N$5:$N$16,0))</f>
        <v>2</v>
      </c>
      <c r="K19" s="18" t="n">
        <f aca="false">IF(OR(C19="?",STDEVP('League Per Game'!$N$5:$N$16)=0),"",IF(C19="N",-1,1)*G19/STDEVP('League Per Game'!$N$5:$N$16))</f>
        <v>1.51418997577148</v>
      </c>
      <c r="L19" s="12" t="str">
        <f aca="false">IF(K19="","Context only (no clear better direction)",IF(K19&gt;=$F$3,"PRIORITY: Echuca well ahead",IF(K19&gt;0,"Echuca ahead",IF(K19&lt;=-$F$3,"United strength","United ahead or level"))))</f>
        <v>PRIORITY: Echuca well ahead</v>
      </c>
    </row>
    <row r="20" customFormat="false" ht="15" hidden="false" customHeight="false" outlineLevel="0" collapsed="false">
      <c r="A20" s="11" t="s">
        <v>75</v>
      </c>
      <c r="B20" s="12" t="s">
        <v>76</v>
      </c>
      <c r="C20" s="13" t="s">
        <v>179</v>
      </c>
      <c r="D20" s="14" t="n">
        <f aca="false">INDEX('League Per Game'!$AR$5:$AR$16,MATCH("Shepparton United",'League Per Game'!$A$5:$A$16,0))</f>
        <v>9.7</v>
      </c>
      <c r="E20" s="15" t="n">
        <f aca="false">INDEX('League Per Game'!$AR$5:$AR$16,MATCH("Echuca",'League Per Game'!$A$5:$A$16,0))</f>
        <v>13.1</v>
      </c>
      <c r="F20" s="16" t="n">
        <f aca="false">AVERAGE('League Per Game'!$AR$5:$AR$16)</f>
        <v>9.25833333333333</v>
      </c>
      <c r="G20" s="16" t="n">
        <f aca="false">E20-D20</f>
        <v>3.4</v>
      </c>
      <c r="H20" s="17" t="n">
        <f aca="false">IF(D20=0,"",G20/D20)</f>
        <v>0.350515463917526</v>
      </c>
      <c r="I20" s="12" t="n">
        <f aca="false">IF(C20="N",RANK(D20,'League Per Game'!$AR$5:$AR$16,1),RANK(D20,'League Per Game'!$AR$5:$AR$16,0))</f>
        <v>6</v>
      </c>
      <c r="J20" s="12" t="n">
        <f aca="false">IF(C20="N",RANK(E20,'League Per Game'!$AR$5:$AR$16,1),RANK(E20,'League Per Game'!$AR$5:$AR$16,0))</f>
        <v>1</v>
      </c>
      <c r="K20" s="18" t="n">
        <f aca="false">IF(OR(C20="?",STDEVP('League Per Game'!$AR$5:$AR$16)=0),"",IF(C20="N",-1,1)*G20/STDEVP('League Per Game'!$AR$5:$AR$16))</f>
        <v>1.48495254124645</v>
      </c>
      <c r="L20" s="12" t="str">
        <f aca="false">IF(K20="","Context only (no clear better direction)",IF(K20&gt;=$F$3,"PRIORITY: Echuca well ahead",IF(K20&gt;0,"Echuca ahead",IF(K20&lt;=-$F$3,"United strength","United ahead or level"))))</f>
        <v>PRIORITY: Echuca well ahead</v>
      </c>
    </row>
    <row r="21" customFormat="false" ht="15" hidden="false" customHeight="false" outlineLevel="0" collapsed="false">
      <c r="A21" s="11" t="s">
        <v>83</v>
      </c>
      <c r="B21" s="12" t="s">
        <v>84</v>
      </c>
      <c r="C21" s="13" t="s">
        <v>179</v>
      </c>
      <c r="D21" s="14" t="n">
        <f aca="false">INDEX('League Per Game'!$AV$5:$AV$16,MATCH("Shepparton United",'League Per Game'!$A$5:$A$16,0))</f>
        <v>77</v>
      </c>
      <c r="E21" s="15" t="n">
        <f aca="false">INDEX('League Per Game'!$AV$5:$AV$16,MATCH("Echuca",'League Per Game'!$A$5:$A$16,0))</f>
        <v>79</v>
      </c>
      <c r="F21" s="16" t="n">
        <f aca="false">AVERAGE('League Per Game'!$AV$5:$AV$16)</f>
        <v>77.6666666666667</v>
      </c>
      <c r="G21" s="16" t="n">
        <f aca="false">E21-D21</f>
        <v>2</v>
      </c>
      <c r="H21" s="17" t="n">
        <f aca="false">IF(D21=0,"",G21/D21)</f>
        <v>0.025974025974026</v>
      </c>
      <c r="I21" s="12" t="n">
        <f aca="false">IF(C21="N",RANK(D21,'League Per Game'!$AV$5:$AV$16,1),RANK(D21,'League Per Game'!$AV$5:$AV$16,0))</f>
        <v>9</v>
      </c>
      <c r="J21" s="12" t="n">
        <f aca="false">IF(C21="N",RANK(E21,'League Per Game'!$AV$5:$AV$16,1),RANK(E21,'League Per Game'!$AV$5:$AV$16,0))</f>
        <v>1</v>
      </c>
      <c r="K21" s="18" t="n">
        <f aca="false">IF(OR(C21="?",STDEVP('League Per Game'!$AV$5:$AV$16)=0),"",IF(C21="N",-1,1)*G21/STDEVP('League Per Game'!$AV$5:$AV$16))</f>
        <v>1.39497166492583</v>
      </c>
      <c r="L21" s="12" t="str">
        <f aca="false">IF(K21="","Context only (no clear better direction)",IF(K21&gt;=$F$3,"PRIORITY: Echuca well ahead",IF(K21&gt;0,"Echuca ahead",IF(K21&lt;=-$F$3,"United strength","United ahead or level"))))</f>
        <v>PRIORITY: Echuca well ahead</v>
      </c>
    </row>
    <row r="22" customFormat="false" ht="15" hidden="false" customHeight="false" outlineLevel="0" collapsed="false">
      <c r="A22" s="11" t="s">
        <v>73</v>
      </c>
      <c r="B22" s="12" t="s">
        <v>74</v>
      </c>
      <c r="C22" s="13" t="s">
        <v>179</v>
      </c>
      <c r="D22" s="14" t="n">
        <f aca="false">INDEX('League Per Game'!$K$5:$K$16,MATCH("Shepparton United",'League Per Game'!$A$5:$A$16,0))</f>
        <v>11.6</v>
      </c>
      <c r="E22" s="15" t="n">
        <f aca="false">INDEX('League Per Game'!$K$5:$K$16,MATCH("Echuca",'League Per Game'!$A$5:$A$16,0))</f>
        <v>14.8</v>
      </c>
      <c r="F22" s="16" t="n">
        <f aca="false">AVERAGE('League Per Game'!$K$5:$K$16)</f>
        <v>10.975</v>
      </c>
      <c r="G22" s="16" t="n">
        <f aca="false">E22-D22</f>
        <v>3.2</v>
      </c>
      <c r="H22" s="17" t="n">
        <f aca="false">IF(D22=0,"",G22/D22)</f>
        <v>0.275862068965517</v>
      </c>
      <c r="I22" s="12" t="n">
        <f aca="false">IF(C22="N",RANK(D22,'League Per Game'!$K$5:$K$16,1),RANK(D22,'League Per Game'!$K$5:$K$16,0))</f>
        <v>6</v>
      </c>
      <c r="J22" s="12" t="n">
        <f aca="false">IF(C22="N",RANK(E22,'League Per Game'!$K$5:$K$16,1),RANK(E22,'League Per Game'!$K$5:$K$16,0))</f>
        <v>1</v>
      </c>
      <c r="K22" s="18" t="n">
        <f aca="false">IF(OR(C22="?",STDEVP('League Per Game'!$K$5:$K$16)=0),"",IF(C22="N",-1,1)*G22/STDEVP('League Per Game'!$K$5:$K$16))</f>
        <v>1.26390346976731</v>
      </c>
      <c r="L22" s="12" t="str">
        <f aca="false">IF(K22="","Context only (no clear better direction)",IF(K22&gt;=$F$3,"PRIORITY: Echuca well ahead",IF(K22&gt;0,"Echuca ahead",IF(K22&lt;=-$F$3,"United strength","United ahead or level"))))</f>
        <v>PRIORITY: Echuca well ahead</v>
      </c>
    </row>
    <row r="23" customFormat="false" ht="15" hidden="false" customHeight="false" outlineLevel="0" collapsed="false">
      <c r="A23" s="11" t="s">
        <v>55</v>
      </c>
      <c r="B23" s="12" t="s">
        <v>56</v>
      </c>
      <c r="C23" s="13" t="s">
        <v>179</v>
      </c>
      <c r="D23" s="14" t="n">
        <f aca="false">INDEX('League Per Game'!$D$5:$D$16,MATCH("Shepparton United",'League Per Game'!$A$5:$A$16,0))</f>
        <v>349.7</v>
      </c>
      <c r="E23" s="15" t="n">
        <f aca="false">INDEX('League Per Game'!$D$5:$D$16,MATCH("Echuca",'League Per Game'!$A$5:$A$16,0))</f>
        <v>372.4</v>
      </c>
      <c r="F23" s="16" t="n">
        <f aca="false">AVERAGE('League Per Game'!$D$5:$D$16)</f>
        <v>339.383333333333</v>
      </c>
      <c r="G23" s="16" t="n">
        <f aca="false">E23-D23</f>
        <v>22.7</v>
      </c>
      <c r="H23" s="17" t="n">
        <f aca="false">IF(D23=0,"",G23/D23)</f>
        <v>0.0649127823849013</v>
      </c>
      <c r="I23" s="12" t="n">
        <f aca="false">IF(C23="N",RANK(D23,'League Per Game'!$D$5:$D$16,1),RANK(D23,'League Per Game'!$D$5:$D$16,0))</f>
        <v>4</v>
      </c>
      <c r="J23" s="12" t="n">
        <f aca="false">IF(C23="N",RANK(E23,'League Per Game'!$D$5:$D$16,1),RANK(E23,'League Per Game'!$D$5:$D$16,0))</f>
        <v>2</v>
      </c>
      <c r="K23" s="18" t="n">
        <f aca="false">IF(OR(C23="?",STDEVP('League Per Game'!$D$5:$D$16)=0),"",IF(C23="N",-1,1)*G23/STDEVP('League Per Game'!$D$5:$D$16))</f>
        <v>1.2213723976579</v>
      </c>
      <c r="L23" s="12" t="str">
        <f aca="false">IF(K23="","Context only (no clear better direction)",IF(K23&gt;=$F$3,"PRIORITY: Echuca well ahead",IF(K23&gt;0,"Echuca ahead",IF(K23&lt;=-$F$3,"United strength","United ahead or level"))))</f>
        <v>PRIORITY: Echuca well ahead</v>
      </c>
    </row>
    <row r="24" customFormat="false" ht="15" hidden="false" customHeight="false" outlineLevel="0" collapsed="false">
      <c r="A24" s="11" t="s">
        <v>139</v>
      </c>
      <c r="B24" s="12" t="s">
        <v>140</v>
      </c>
      <c r="C24" s="13" t="s">
        <v>179</v>
      </c>
      <c r="D24" s="14" t="n">
        <f aca="false">INDEX('League Per Game'!$C$5:$C$16,MATCH("Shepparton United",'League Per Game'!$A$5:$A$16,0))</f>
        <v>1617.7</v>
      </c>
      <c r="E24" s="15" t="n">
        <f aca="false">INDEX('League Per Game'!$C$5:$C$16,MATCH("Echuca",'League Per Game'!$A$5:$A$16,0))</f>
        <v>1739.5</v>
      </c>
      <c r="F24" s="16" t="n">
        <f aca="false">AVERAGE('League Per Game'!$C$5:$C$16)</f>
        <v>1572.36666666667</v>
      </c>
      <c r="G24" s="16" t="n">
        <f aca="false">E24-D24</f>
        <v>121.8</v>
      </c>
      <c r="H24" s="17" t="n">
        <f aca="false">IF(D24=0,"",G24/D24)</f>
        <v>0.0752920813500649</v>
      </c>
      <c r="I24" s="12" t="n">
        <f aca="false">IF(C24="N",RANK(D24,'League Per Game'!$C$5:$C$16,1),RANK(D24,'League Per Game'!$C$5:$C$16,0))</f>
        <v>4</v>
      </c>
      <c r="J24" s="12" t="n">
        <f aca="false">IF(C24="N",RANK(E24,'League Per Game'!$C$5:$C$16,1),RANK(E24,'League Per Game'!$C$5:$C$16,0))</f>
        <v>1</v>
      </c>
      <c r="K24" s="18" t="n">
        <f aca="false">IF(OR(C24="?",STDEVP('League Per Game'!$C$5:$C$16)=0),"",IF(C24="N",-1,1)*G24/STDEVP('League Per Game'!$C$5:$C$16))</f>
        <v>1.16216054069542</v>
      </c>
      <c r="L24" s="12" t="str">
        <f aca="false">IF(K24="","Context only (no clear better direction)",IF(K24&gt;=$F$3,"PRIORITY: Echuca well ahead",IF(K24&gt;0,"Echuca ahead",IF(K24&lt;=-$F$3,"United strength","United ahead or level"))))</f>
        <v>PRIORITY: Echuca well ahead</v>
      </c>
    </row>
    <row r="25" customFormat="false" ht="15" hidden="false" customHeight="false" outlineLevel="0" collapsed="false">
      <c r="A25" s="11" t="s">
        <v>99</v>
      </c>
      <c r="B25" s="12" t="s">
        <v>100</v>
      </c>
      <c r="C25" s="13" t="s">
        <v>179</v>
      </c>
      <c r="D25" s="14" t="n">
        <f aca="false">INDEX('League Per Game'!$AW$5:$AW$16,MATCH("Shepparton United",'League Per Game'!$A$5:$A$16,0))</f>
        <v>51</v>
      </c>
      <c r="E25" s="15" t="n">
        <f aca="false">INDEX('League Per Game'!$AW$5:$AW$16,MATCH("Echuca",'League Per Game'!$A$5:$A$16,0))</f>
        <v>54</v>
      </c>
      <c r="F25" s="16" t="n">
        <f aca="false">AVERAGE('League Per Game'!$AW$5:$AW$16)</f>
        <v>49.4166666666667</v>
      </c>
      <c r="G25" s="16" t="n">
        <f aca="false">E25-D25</f>
        <v>3</v>
      </c>
      <c r="H25" s="17" t="n">
        <f aca="false">IF(D25=0,"",G25/D25)</f>
        <v>0.0588235294117647</v>
      </c>
      <c r="I25" s="12" t="n">
        <f aca="false">IF(C25="N",RANK(D25,'League Per Game'!$AW$5:$AW$16,1),RANK(D25,'League Per Game'!$AW$5:$AW$16,0))</f>
        <v>2</v>
      </c>
      <c r="J25" s="12" t="n">
        <f aca="false">IF(C25="N",RANK(E25,'League Per Game'!$AW$5:$AW$16,1),RANK(E25,'League Per Game'!$AW$5:$AW$16,0))</f>
        <v>1</v>
      </c>
      <c r="K25" s="18" t="n">
        <f aca="false">IF(OR(C25="?",STDEVP('League Per Game'!$AW$5:$AW$16)=0),"",IF(C25="N",-1,1)*G25/STDEVP('League Per Game'!$AW$5:$AW$16))</f>
        <v>1.08990871555801</v>
      </c>
      <c r="L25" s="12" t="str">
        <f aca="false">IF(K25="","Context only (no clear better direction)",IF(K25&gt;=$F$3,"PRIORITY: Echuca well ahead",IF(K25&gt;0,"Echuca ahead",IF(K25&lt;=-$F$3,"United strength","United ahead or level"))))</f>
        <v>PRIORITY: Echuca well ahead</v>
      </c>
    </row>
    <row r="26" customFormat="false" ht="15" hidden="false" customHeight="false" outlineLevel="0" collapsed="false">
      <c r="A26" s="11" t="s">
        <v>43</v>
      </c>
      <c r="B26" s="12" t="s">
        <v>44</v>
      </c>
      <c r="C26" s="13" t="s">
        <v>179</v>
      </c>
      <c r="D26" s="14" t="n">
        <f aca="false">INDEX('League Per Game'!$AX$5:$AX$16,MATCH("Shepparton United",'League Per Game'!$A$5:$A$16,0))</f>
        <v>61</v>
      </c>
      <c r="E26" s="15" t="n">
        <f aca="false">INDEX('League Per Game'!$AX$5:$AX$16,MATCH("Echuca",'League Per Game'!$A$5:$A$16,0))</f>
        <v>64</v>
      </c>
      <c r="F26" s="16" t="n">
        <f aca="false">AVERAGE('League Per Game'!$AX$5:$AX$16)</f>
        <v>61.5833333333333</v>
      </c>
      <c r="G26" s="16" t="n">
        <f aca="false">E26-D26</f>
        <v>3</v>
      </c>
      <c r="H26" s="17" t="n">
        <f aca="false">IF(D26=0,"",G26/D26)</f>
        <v>0.0491803278688525</v>
      </c>
      <c r="I26" s="12" t="n">
        <f aca="false">IF(C26="N",RANK(D26,'League Per Game'!$AX$5:$AX$16,1),RANK(D26,'League Per Game'!$AX$5:$AX$16,0))</f>
        <v>7</v>
      </c>
      <c r="J26" s="12" t="n">
        <f aca="false">IF(C26="N",RANK(E26,'League Per Game'!$AX$5:$AX$16,1),RANK(E26,'League Per Game'!$AX$5:$AX$16,0))</f>
        <v>3</v>
      </c>
      <c r="K26" s="18" t="n">
        <f aca="false">IF(OR(C26="?",STDEVP('League Per Game'!$AX$5:$AX$16)=0),"",IF(C26="N",-1,1)*G26/STDEVP('League Per Game'!$AX$5:$AX$16))</f>
        <v>1.06669593170273</v>
      </c>
      <c r="L26" s="12" t="str">
        <f aca="false">IF(K26="","Context only (no clear better direction)",IF(K26&gt;=$F$3,"PRIORITY: Echuca well ahead",IF(K26&gt;0,"Echuca ahead",IF(K26&lt;=-$F$3,"United strength","United ahead or level"))))</f>
        <v>PRIORITY: Echuca well ahead</v>
      </c>
    </row>
    <row r="27" customFormat="false" ht="15" hidden="false" customHeight="false" outlineLevel="0" collapsed="false">
      <c r="A27" s="11" t="s">
        <v>97</v>
      </c>
      <c r="B27" s="12" t="s">
        <v>98</v>
      </c>
      <c r="C27" s="13" t="s">
        <v>179</v>
      </c>
      <c r="D27" s="14" t="n">
        <f aca="false">INDEX('League Per Game'!$J$5:$J$16,MATCH("Shepparton United",'League Per Game'!$A$5:$A$16,0))</f>
        <v>48.3</v>
      </c>
      <c r="E27" s="15" t="n">
        <f aca="false">INDEX('League Per Game'!$J$5:$J$16,MATCH("Echuca",'League Per Game'!$A$5:$A$16,0))</f>
        <v>55.6</v>
      </c>
      <c r="F27" s="16" t="n">
        <f aca="false">AVERAGE('League Per Game'!$J$5:$J$16)</f>
        <v>47.0083333333333</v>
      </c>
      <c r="G27" s="16" t="n">
        <f aca="false">E27-D27</f>
        <v>7.3</v>
      </c>
      <c r="H27" s="17" t="n">
        <f aca="false">IF(D27=0,"",G27/D27)</f>
        <v>0.151138716356108</v>
      </c>
      <c r="I27" s="12" t="n">
        <f aca="false">IF(C27="N",RANK(D27,'League Per Game'!$J$5:$J$16,1),RANK(D27,'League Per Game'!$J$5:$J$16,0))</f>
        <v>7</v>
      </c>
      <c r="J27" s="12" t="n">
        <f aca="false">IF(C27="N",RANK(E27,'League Per Game'!$J$5:$J$16,1),RANK(E27,'League Per Game'!$J$5:$J$16,0))</f>
        <v>1</v>
      </c>
      <c r="K27" s="18" t="n">
        <f aca="false">IF(OR(C27="?",STDEVP('League Per Game'!$J$5:$J$16)=0),"",IF(C27="N",-1,1)*G27/STDEVP('League Per Game'!$J$5:$J$16))</f>
        <v>1.00105787297975</v>
      </c>
      <c r="L27" s="12" t="str">
        <f aca="false">IF(K27="","Context only (no clear better direction)",IF(K27&gt;=$F$3,"PRIORITY: Echuca well ahead",IF(K27&gt;0,"Echuca ahead",IF(K27&lt;=-$F$3,"United strength","United ahead or level"))))</f>
        <v>PRIORITY: Echuca well ahead</v>
      </c>
    </row>
    <row r="28" customFormat="false" ht="15" hidden="false" customHeight="false" outlineLevel="0" collapsed="false">
      <c r="A28" s="11" t="s">
        <v>143</v>
      </c>
      <c r="B28" s="12" t="s">
        <v>144</v>
      </c>
      <c r="C28" s="13" t="s">
        <v>179</v>
      </c>
      <c r="D28" s="14" t="n">
        <f aca="false">INDEX('League Per Game'!$M$5:$M$16,MATCH("Shepparton United",'League Per Game'!$A$5:$A$16,0))</f>
        <v>84.4</v>
      </c>
      <c r="E28" s="15" t="n">
        <f aca="false">INDEX('League Per Game'!$M$5:$M$16,MATCH("Echuca",'League Per Game'!$A$5:$A$16,0))</f>
        <v>100.1</v>
      </c>
      <c r="F28" s="16" t="n">
        <f aca="false">AVERAGE('League Per Game'!$M$5:$M$16)</f>
        <v>75.95</v>
      </c>
      <c r="G28" s="16" t="n">
        <f aca="false">E28-D28</f>
        <v>15.7</v>
      </c>
      <c r="H28" s="17" t="n">
        <f aca="false">IF(D28=0,"",G28/D28)</f>
        <v>0.186018957345971</v>
      </c>
      <c r="I28" s="12" t="n">
        <f aca="false">IF(C28="N",RANK(D28,'League Per Game'!$M$5:$M$16,1),RANK(D28,'League Per Game'!$M$5:$M$16,0))</f>
        <v>5</v>
      </c>
      <c r="J28" s="12" t="n">
        <f aca="false">IF(C28="N",RANK(E28,'League Per Game'!$M$5:$M$16,1),RANK(E28,'League Per Game'!$M$5:$M$16,0))</f>
        <v>1</v>
      </c>
      <c r="K28" s="18" t="n">
        <f aca="false">IF(OR(C28="?",STDEVP('League Per Game'!$M$5:$M$16)=0),"",IF(C28="N",-1,1)*G28/STDEVP('League Per Game'!$M$5:$M$16))</f>
        <v>0.951420509247963</v>
      </c>
      <c r="L28" s="12" t="str">
        <f aca="false">IF(K28="","Context only (no clear better direction)",IF(K28&gt;=$F$3,"PRIORITY: Echuca well ahead",IF(K28&gt;0,"Echuca ahead",IF(K28&lt;=-$F$3,"United strength","United ahead or level"))))</f>
        <v>PRIORITY: Echuca well ahead</v>
      </c>
    </row>
    <row r="29" customFormat="false" ht="15" hidden="false" customHeight="false" outlineLevel="0" collapsed="false">
      <c r="A29" s="11" t="s">
        <v>45</v>
      </c>
      <c r="B29" s="12" t="s">
        <v>46</v>
      </c>
      <c r="C29" s="13" t="s">
        <v>179</v>
      </c>
      <c r="D29" s="14" t="n">
        <f aca="false">INDEX('League Per Game'!$Z$5:$Z$16,MATCH("Shepparton United",'League Per Game'!$A$5:$A$16,0))</f>
        <v>10</v>
      </c>
      <c r="E29" s="15" t="n">
        <f aca="false">INDEX('League Per Game'!$Z$5:$Z$16,MATCH("Echuca",'League Per Game'!$A$5:$A$16,0))</f>
        <v>10.8</v>
      </c>
      <c r="F29" s="16" t="n">
        <f aca="false">AVERAGE('League Per Game'!$Z$5:$Z$16)</f>
        <v>10.2333333333333</v>
      </c>
      <c r="G29" s="16" t="n">
        <f aca="false">E29-D29</f>
        <v>0.800000000000001</v>
      </c>
      <c r="H29" s="17" t="n">
        <f aca="false">IF(D29=0,"",G29/D29)</f>
        <v>0.0800000000000001</v>
      </c>
      <c r="I29" s="12" t="n">
        <f aca="false">IF(C29="N",RANK(D29,'League Per Game'!$Z$5:$Z$16,1),RANK(D29,'League Per Game'!$Z$5:$Z$16,0))</f>
        <v>7</v>
      </c>
      <c r="J29" s="12" t="n">
        <f aca="false">IF(C29="N",RANK(E29,'League Per Game'!$Z$5:$Z$16,1),RANK(E29,'League Per Game'!$Z$5:$Z$16,0))</f>
        <v>5</v>
      </c>
      <c r="K29" s="18" t="n">
        <f aca="false">IF(OR(C29="?",STDEVP('League Per Game'!$Z$5:$Z$16)=0),"",IF(C29="N",-1,1)*G29/STDEVP('League Per Game'!$Z$5:$Z$16))</f>
        <v>0.729116260591024</v>
      </c>
      <c r="L29" s="12" t="str">
        <f aca="false">IF(K29="","Context only (no clear better direction)",IF(K29&gt;=$F$3,"PRIORITY: Echuca well ahead",IF(K29&gt;0,"Echuca ahead",IF(K29&lt;=-$F$3,"United strength","United ahead or level"))))</f>
        <v>Echuca ahead</v>
      </c>
    </row>
    <row r="30" customFormat="false" ht="15" hidden="false" customHeight="false" outlineLevel="0" collapsed="false">
      <c r="A30" s="11" t="s">
        <v>47</v>
      </c>
      <c r="B30" s="12" t="s">
        <v>48</v>
      </c>
      <c r="C30" s="13" t="s">
        <v>179</v>
      </c>
      <c r="D30" s="14" t="n">
        <f aca="false">INDEX('League Per Game'!$V$5:$V$16,MATCH("Shepparton United",'League Per Game'!$A$5:$A$16,0))</f>
        <v>14.3</v>
      </c>
      <c r="E30" s="15" t="n">
        <f aca="false">INDEX('League Per Game'!$V$5:$V$16,MATCH("Echuca",'League Per Game'!$A$5:$A$16,0))</f>
        <v>15.4</v>
      </c>
      <c r="F30" s="16" t="n">
        <f aca="false">AVERAGE('League Per Game'!$V$5:$V$16)</f>
        <v>13.2833333333333</v>
      </c>
      <c r="G30" s="16" t="n">
        <f aca="false">E30-D30</f>
        <v>1.1</v>
      </c>
      <c r="H30" s="17" t="n">
        <f aca="false">IF(D30=0,"",G30/D30)</f>
        <v>0.0769230769230769</v>
      </c>
      <c r="I30" s="12" t="n">
        <f aca="false">IF(C30="N",RANK(D30,'League Per Game'!$V$5:$V$16,1),RANK(D30,'League Per Game'!$V$5:$V$16,0))</f>
        <v>4</v>
      </c>
      <c r="J30" s="12" t="n">
        <f aca="false">IF(C30="N",RANK(E30,'League Per Game'!$V$5:$V$16,1),RANK(E30,'League Per Game'!$V$5:$V$16,0))</f>
        <v>2</v>
      </c>
      <c r="K30" s="18" t="n">
        <f aca="false">IF(OR(C30="?",STDEVP('League Per Game'!$V$5:$V$16)=0),"",IF(C30="N",-1,1)*G30/STDEVP('League Per Game'!$V$5:$V$16))</f>
        <v>0.643756930404497</v>
      </c>
      <c r="L30" s="12" t="str">
        <f aca="false">IF(K30="","Context only (no clear better direction)",IF(K30&gt;=$F$3,"PRIORITY: Echuca well ahead",IF(K30&gt;0,"Echuca ahead",IF(K30&lt;=-$F$3,"United strength","United ahead or level"))))</f>
        <v>Echuca ahead</v>
      </c>
    </row>
    <row r="31" customFormat="false" ht="15" hidden="false" customHeight="false" outlineLevel="0" collapsed="false">
      <c r="A31" s="11" t="s">
        <v>53</v>
      </c>
      <c r="B31" s="12" t="s">
        <v>54</v>
      </c>
      <c r="C31" s="13" t="s">
        <v>179</v>
      </c>
      <c r="D31" s="14" t="n">
        <f aca="false">INDEX('League Per Game'!$I$5:$I$16,MATCH("Shepparton United",'League Per Game'!$A$5:$A$16,0))</f>
        <v>41.8</v>
      </c>
      <c r="E31" s="15" t="n">
        <f aca="false">INDEX('League Per Game'!$I$5:$I$16,MATCH("Echuca",'League Per Game'!$A$5:$A$16,0))</f>
        <v>43.6</v>
      </c>
      <c r="F31" s="16" t="n">
        <f aca="false">AVERAGE('League Per Game'!$I$5:$I$16)</f>
        <v>42.3166666666667</v>
      </c>
      <c r="G31" s="16" t="n">
        <f aca="false">E31-D31</f>
        <v>1.8</v>
      </c>
      <c r="H31" s="17" t="n">
        <f aca="false">IF(D31=0,"",G31/D31)</f>
        <v>0.0430622009569379</v>
      </c>
      <c r="I31" s="12" t="n">
        <f aca="false">IF(C31="N",RANK(D31,'League Per Game'!$I$5:$I$16,1),RANK(D31,'League Per Game'!$I$5:$I$16,0))</f>
        <v>8</v>
      </c>
      <c r="J31" s="12" t="n">
        <f aca="false">IF(C31="N",RANK(E31,'League Per Game'!$I$5:$I$16,1),RANK(E31,'League Per Game'!$I$5:$I$16,0))</f>
        <v>6</v>
      </c>
      <c r="K31" s="18" t="n">
        <f aca="false">IF(OR(C31="?",STDEVP('League Per Game'!$I$5:$I$16)=0),"",IF(C31="N",-1,1)*G31/STDEVP('League Per Game'!$I$5:$I$16))</f>
        <v>0.592112026171964</v>
      </c>
      <c r="L31" s="12" t="str">
        <f aca="false">IF(K31="","Context only (no clear better direction)",IF(K31&gt;=$F$3,"PRIORITY: Echuca well ahead",IF(K31&gt;0,"Echuca ahead",IF(K31&lt;=-$F$3,"United strength","United ahead or level"))))</f>
        <v>Echuca ahead</v>
      </c>
    </row>
    <row r="32" customFormat="false" ht="15" hidden="false" customHeight="false" outlineLevel="0" collapsed="false">
      <c r="A32" s="11" t="s">
        <v>69</v>
      </c>
      <c r="B32" s="12" t="s">
        <v>70</v>
      </c>
      <c r="C32" s="13" t="s">
        <v>179</v>
      </c>
      <c r="D32" s="14" t="n">
        <f aca="false">INDEX('League Per Game'!$AO$5:$AO$16,MATCH("Shepparton United",'League Per Game'!$A$5:$A$16,0))</f>
        <v>10.2</v>
      </c>
      <c r="E32" s="15" t="n">
        <f aca="false">INDEX('League Per Game'!$AO$5:$AO$16,MATCH("Echuca",'League Per Game'!$A$5:$A$16,0))</f>
        <v>11.5</v>
      </c>
      <c r="F32" s="16" t="n">
        <f aca="false">AVERAGE('League Per Game'!$AO$5:$AO$16)</f>
        <v>11.0666666666667</v>
      </c>
      <c r="G32" s="16" t="n">
        <f aca="false">E32-D32</f>
        <v>1.3</v>
      </c>
      <c r="H32" s="17" t="n">
        <f aca="false">IF(D32=0,"",G32/D32)</f>
        <v>0.127450980392157</v>
      </c>
      <c r="I32" s="12" t="n">
        <f aca="false">IF(C32="N",RANK(D32,'League Per Game'!$AO$5:$AO$16,1),RANK(D32,'League Per Game'!$AO$5:$AO$16,0))</f>
        <v>9</v>
      </c>
      <c r="J32" s="12" t="n">
        <f aca="false">IF(C32="N",RANK(E32,'League Per Game'!$AO$5:$AO$16,1),RANK(E32,'League Per Game'!$AO$5:$AO$16,0))</f>
        <v>6</v>
      </c>
      <c r="K32" s="18" t="n">
        <f aca="false">IF(OR(C32="?",STDEVP('League Per Game'!$AO$5:$AO$16)=0),"",IF(C32="N",-1,1)*G32/STDEVP('League Per Game'!$AO$5:$AO$16))</f>
        <v>0.559057197583151</v>
      </c>
      <c r="L32" s="12" t="str">
        <f aca="false">IF(K32="","Context only (no clear better direction)",IF(K32&gt;=$F$3,"PRIORITY: Echuca well ahead",IF(K32&gt;0,"Echuca ahead",IF(K32&lt;=-$F$3,"United strength","United ahead or level"))))</f>
        <v>Echuca ahead</v>
      </c>
    </row>
    <row r="33" customFormat="false" ht="15" hidden="false" customHeight="false" outlineLevel="0" collapsed="false">
      <c r="A33" s="11" t="s">
        <v>37</v>
      </c>
      <c r="B33" s="12" t="s">
        <v>38</v>
      </c>
      <c r="C33" s="13" t="s">
        <v>179</v>
      </c>
      <c r="D33" s="14" t="n">
        <f aca="false">INDEX('League Per Game'!$AQ$5:$AQ$16,MATCH("Shepparton United",'League Per Game'!$A$5:$A$16,0))</f>
        <v>10.6</v>
      </c>
      <c r="E33" s="15" t="n">
        <f aca="false">INDEX('League Per Game'!$AQ$5:$AQ$16,MATCH("Echuca",'League Per Game'!$A$5:$A$16,0))</f>
        <v>11.6</v>
      </c>
      <c r="F33" s="16" t="n">
        <f aca="false">AVERAGE('League Per Game'!$AQ$5:$AQ$16)</f>
        <v>12.7833333333333</v>
      </c>
      <c r="G33" s="16" t="n">
        <f aca="false">E33-D33</f>
        <v>1</v>
      </c>
      <c r="H33" s="17" t="n">
        <f aca="false">IF(D33=0,"",G33/D33)</f>
        <v>0.0943396226415094</v>
      </c>
      <c r="I33" s="12" t="n">
        <f aca="false">IF(C33="N",RANK(D33,'League Per Game'!$AQ$5:$AQ$16,1),RANK(D33,'League Per Game'!$AQ$5:$AQ$16,0))</f>
        <v>11</v>
      </c>
      <c r="J33" s="12" t="n">
        <f aca="false">IF(C33="N",RANK(E33,'League Per Game'!$AQ$5:$AQ$16,1),RANK(E33,'League Per Game'!$AQ$5:$AQ$16,0))</f>
        <v>8</v>
      </c>
      <c r="K33" s="18" t="n">
        <f aca="false">IF(OR(C33="?",STDEVP('League Per Game'!$AQ$5:$AQ$16)=0),"",IF(C33="N",-1,1)*G33/STDEVP('League Per Game'!$AQ$5:$AQ$16))</f>
        <v>0.449554880061314</v>
      </c>
      <c r="L33" s="12" t="str">
        <f aca="false">IF(K33="","Context only (no clear better direction)",IF(K33&gt;=$F$3,"PRIORITY: Echuca well ahead",IF(K33&gt;0,"Echuca ahead",IF(K33&lt;=-$F$3,"United strength","United ahead or level"))))</f>
        <v>Echuca ahead</v>
      </c>
    </row>
    <row r="34" customFormat="false" ht="15" hidden="false" customHeight="false" outlineLevel="0" collapsed="false">
      <c r="A34" s="11" t="s">
        <v>105</v>
      </c>
      <c r="B34" s="12" t="s">
        <v>106</v>
      </c>
      <c r="C34" s="13" t="s">
        <v>179</v>
      </c>
      <c r="D34" s="14" t="n">
        <f aca="false">INDEX('League Per Game'!$E$5:$E$16,MATCH("Shepparton United",'League Per Game'!$A$5:$A$16,0))</f>
        <v>224.3</v>
      </c>
      <c r="E34" s="15" t="n">
        <f aca="false">INDEX('League Per Game'!$E$5:$E$16,MATCH("Echuca",'League Per Game'!$A$5:$A$16,0))</f>
        <v>229.9</v>
      </c>
      <c r="F34" s="16" t="n">
        <f aca="false">AVERAGE('League Per Game'!$E$5:$E$16)</f>
        <v>209.65</v>
      </c>
      <c r="G34" s="16" t="n">
        <f aca="false">E34-D34</f>
        <v>5.59999999999999</v>
      </c>
      <c r="H34" s="17" t="n">
        <f aca="false">IF(D34=0,"",G34/D34)</f>
        <v>0.0249665626393223</v>
      </c>
      <c r="I34" s="12" t="n">
        <f aca="false">IF(C34="N",RANK(D34,'League Per Game'!$E$5:$E$16,1),RANK(D34,'League Per Game'!$E$5:$E$16,0))</f>
        <v>3</v>
      </c>
      <c r="J34" s="12" t="n">
        <f aca="false">IF(C34="N",RANK(E34,'League Per Game'!$E$5:$E$16,1),RANK(E34,'League Per Game'!$E$5:$E$16,0))</f>
        <v>2</v>
      </c>
      <c r="K34" s="18" t="n">
        <f aca="false">IF(OR(C34="?",STDEVP('League Per Game'!$E$5:$E$16)=0),"",IF(C34="N",-1,1)*G34/STDEVP('League Per Game'!$E$5:$E$16))</f>
        <v>0.429729011418974</v>
      </c>
      <c r="L34" s="12" t="str">
        <f aca="false">IF(K34="","Context only (no clear better direction)",IF(K34&gt;=$F$3,"PRIORITY: Echuca well ahead",IF(K34&gt;0,"Echuca ahead",IF(K34&lt;=-$F$3,"United strength","United ahead or level"))))</f>
        <v>Echuca ahead</v>
      </c>
    </row>
    <row r="35" customFormat="false" ht="15" hidden="false" customHeight="false" outlineLevel="0" collapsed="false">
      <c r="A35" s="11" t="s">
        <v>121</v>
      </c>
      <c r="B35" s="12" t="s">
        <v>122</v>
      </c>
      <c r="C35" s="13" t="s">
        <v>179</v>
      </c>
      <c r="D35" s="14" t="n">
        <f aca="false">INDEX('League Per Game'!$Y$5:$Y$16,MATCH("Shepparton United",'League Per Game'!$A$5:$A$16,0))</f>
        <v>15.1</v>
      </c>
      <c r="E35" s="15" t="n">
        <f aca="false">INDEX('League Per Game'!$Y$5:$Y$16,MATCH("Echuca",'League Per Game'!$A$5:$A$16,0))</f>
        <v>15.9</v>
      </c>
      <c r="F35" s="16" t="n">
        <f aca="false">AVERAGE('League Per Game'!$Y$5:$Y$16)</f>
        <v>11.85</v>
      </c>
      <c r="G35" s="16" t="n">
        <f aca="false">E35-D35</f>
        <v>0.800000000000001</v>
      </c>
      <c r="H35" s="17" t="n">
        <f aca="false">IF(D35=0,"",G35/D35)</f>
        <v>0.0529801324503312</v>
      </c>
      <c r="I35" s="12" t="n">
        <f aca="false">IF(C35="N",RANK(D35,'League Per Game'!$Y$5:$Y$16,1),RANK(D35,'League Per Game'!$Y$5:$Y$16,0))</f>
        <v>2</v>
      </c>
      <c r="J35" s="12" t="n">
        <f aca="false">IF(C35="N",RANK(E35,'League Per Game'!$Y$5:$Y$16,1),RANK(E35,'League Per Game'!$Y$5:$Y$16,0))</f>
        <v>1</v>
      </c>
      <c r="K35" s="18" t="n">
        <f aca="false">IF(OR(C35="?",STDEVP('League Per Game'!$Y$5:$Y$16)=0),"",IF(C35="N",-1,1)*G35/STDEVP('League Per Game'!$Y$5:$Y$16))</f>
        <v>0.317866854090438</v>
      </c>
      <c r="L35" s="12" t="str">
        <f aca="false">IF(K35="","Context only (no clear better direction)",IF(K35&gt;=$F$3,"PRIORITY: Echuca well ahead",IF(K35&gt;0,"Echuca ahead",IF(K35&lt;=-$F$3,"United strength","United ahead or level"))))</f>
        <v>Echuca ahead</v>
      </c>
    </row>
    <row r="36" customFormat="false" ht="15" hidden="false" customHeight="false" outlineLevel="0" collapsed="false">
      <c r="A36" s="11" t="s">
        <v>39</v>
      </c>
      <c r="B36" s="12" t="s">
        <v>40</v>
      </c>
      <c r="C36" s="13" t="s">
        <v>180</v>
      </c>
      <c r="D36" s="14" t="n">
        <f aca="false">INDEX('League Per Game'!$AH$5:$AH$16,MATCH("Shepparton United",'League Per Game'!$A$5:$A$16,0))</f>
        <v>5</v>
      </c>
      <c r="E36" s="15" t="n">
        <f aca="false">INDEX('League Per Game'!$AH$5:$AH$16,MATCH("Echuca",'League Per Game'!$A$5:$A$16,0))</f>
        <v>4.7</v>
      </c>
      <c r="F36" s="16" t="n">
        <f aca="false">AVERAGE('League Per Game'!$AH$5:$AH$16)</f>
        <v>5.575</v>
      </c>
      <c r="G36" s="16" t="n">
        <f aca="false">E36-D36</f>
        <v>-0.3</v>
      </c>
      <c r="H36" s="17" t="n">
        <f aca="false">IF(D36=0,"",G36/D36)</f>
        <v>-0.06</v>
      </c>
      <c r="I36" s="12" t="n">
        <f aca="false">IF(C36="N",RANK(D36,'League Per Game'!$AH$5:$AH$16,1),RANK(D36,'League Per Game'!$AH$5:$AH$16,0))</f>
        <v>5</v>
      </c>
      <c r="J36" s="12" t="n">
        <f aca="false">IF(C36="N",RANK(E36,'League Per Game'!$AH$5:$AH$16,1),RANK(E36,'League Per Game'!$AH$5:$AH$16,0))</f>
        <v>4</v>
      </c>
      <c r="K36" s="18" t="n">
        <f aca="false">IF(OR(C36="?",STDEVP('League Per Game'!$AH$5:$AH$16)=0),"",IF(C36="N",-1,1)*G36/STDEVP('League Per Game'!$AH$5:$AH$16))</f>
        <v>0.255049885728673</v>
      </c>
      <c r="L36" s="12" t="str">
        <f aca="false">IF(K36="","Context only (no clear better direction)",IF(K36&gt;=$F$3,"PRIORITY: Echuca well ahead",IF(K36&gt;0,"Echuca ahead",IF(K36&lt;=-$F$3,"United strength","United ahead or level"))))</f>
        <v>Echuca ahead</v>
      </c>
    </row>
    <row r="37" customFormat="false" ht="15" hidden="false" customHeight="false" outlineLevel="0" collapsed="false">
      <c r="A37" s="11" t="s">
        <v>57</v>
      </c>
      <c r="B37" s="12" t="s">
        <v>58</v>
      </c>
      <c r="C37" s="13" t="s">
        <v>179</v>
      </c>
      <c r="D37" s="14" t="n">
        <f aca="false">INDEX('League Per Game'!$AT$5:$AT$16,MATCH("Shepparton United",'League Per Game'!$A$5:$A$16,0))</f>
        <v>69</v>
      </c>
      <c r="E37" s="15" t="n">
        <f aca="false">INDEX('League Per Game'!$AT$5:$AT$16,MATCH("Echuca",'League Per Game'!$A$5:$A$16,0))</f>
        <v>69</v>
      </c>
      <c r="F37" s="16" t="n">
        <f aca="false">AVERAGE('League Per Game'!$AT$5:$AT$16)</f>
        <v>67</v>
      </c>
      <c r="G37" s="16" t="n">
        <f aca="false">E37-D37</f>
        <v>0</v>
      </c>
      <c r="H37" s="17" t="n">
        <f aca="false">IF(D37=0,"",G37/D37)</f>
        <v>0</v>
      </c>
      <c r="I37" s="12" t="n">
        <f aca="false">IF(C37="N",RANK(D37,'League Per Game'!$AT$5:$AT$16,1),RANK(D37,'League Per Game'!$AT$5:$AT$16,0))</f>
        <v>1</v>
      </c>
      <c r="J37" s="12" t="n">
        <f aca="false">IF(C37="N",RANK(E37,'League Per Game'!$AT$5:$AT$16,1),RANK(E37,'League Per Game'!$AT$5:$AT$16,0))</f>
        <v>1</v>
      </c>
      <c r="K37" s="18" t="n">
        <f aca="false">IF(OR(C37="?",STDEVP('League Per Game'!$AT$5:$AT$16)=0),"",IF(C37="N",-1,1)*G37/STDEVP('League Per Game'!$AT$5:$AT$16))</f>
        <v>0</v>
      </c>
      <c r="L37" s="12" t="str">
        <f aca="false">IF(K37="","Context only (no clear better direction)",IF(K37&gt;=$F$3,"PRIORITY: Echuca well ahead",IF(K37&gt;0,"Echuca ahead",IF(K37&lt;=-$F$3,"United strength","United ahead or level"))))</f>
        <v>United ahead or level</v>
      </c>
    </row>
    <row r="38" customFormat="false" ht="15" hidden="false" customHeight="false" outlineLevel="0" collapsed="false">
      <c r="A38" s="11" t="s">
        <v>41</v>
      </c>
      <c r="B38" s="12" t="s">
        <v>42</v>
      </c>
      <c r="C38" s="13" t="s">
        <v>179</v>
      </c>
      <c r="D38" s="14" t="n">
        <f aca="false">INDEX('League Per Game'!$AA$5:$AA$16,MATCH("Shepparton United",'League Per Game'!$A$5:$A$16,0))</f>
        <v>20.1</v>
      </c>
      <c r="E38" s="15" t="n">
        <f aca="false">INDEX('League Per Game'!$AA$5:$AA$16,MATCH("Echuca",'League Per Game'!$A$5:$A$16,0))</f>
        <v>20.1</v>
      </c>
      <c r="F38" s="16" t="n">
        <f aca="false">AVERAGE('League Per Game'!$AA$5:$AA$16)</f>
        <v>19.4666666666667</v>
      </c>
      <c r="G38" s="16" t="n">
        <f aca="false">E38-D38</f>
        <v>0</v>
      </c>
      <c r="H38" s="17" t="n">
        <f aca="false">IF(D38=0,"",G38/D38)</f>
        <v>0</v>
      </c>
      <c r="I38" s="12" t="n">
        <f aca="false">IF(C38="N",RANK(D38,'League Per Game'!$AA$5:$AA$16,1),RANK(D38,'League Per Game'!$AA$5:$AA$16,0))</f>
        <v>5</v>
      </c>
      <c r="J38" s="12" t="n">
        <f aca="false">IF(C38="N",RANK(E38,'League Per Game'!$AA$5:$AA$16,1),RANK(E38,'League Per Game'!$AA$5:$AA$16,0))</f>
        <v>5</v>
      </c>
      <c r="K38" s="18" t="n">
        <f aca="false">IF(OR(C38="?",STDEVP('League Per Game'!$AA$5:$AA$16)=0),"",IF(C38="N",-1,1)*G38/STDEVP('League Per Game'!$AA$5:$AA$16))</f>
        <v>0</v>
      </c>
      <c r="L38" s="12" t="str">
        <f aca="false">IF(K38="","Context only (no clear better direction)",IF(K38&gt;=$F$3,"PRIORITY: Echuca well ahead",IF(K38&gt;0,"Echuca ahead",IF(K38&lt;=-$F$3,"United strength","United ahead or level"))))</f>
        <v>United ahead or level</v>
      </c>
    </row>
    <row r="39" customFormat="false" ht="15" hidden="false" customHeight="false" outlineLevel="0" collapsed="false">
      <c r="A39" s="11" t="s">
        <v>67</v>
      </c>
      <c r="B39" s="12" t="s">
        <v>68</v>
      </c>
      <c r="C39" s="13" t="s">
        <v>179</v>
      </c>
      <c r="D39" s="14" t="n">
        <f aca="false">INDEX('League Per Game'!$AD$5:$AD$16,MATCH("Shepparton United",'League Per Game'!$A$5:$A$16,0))</f>
        <v>18.2</v>
      </c>
      <c r="E39" s="15" t="n">
        <f aca="false">INDEX('League Per Game'!$AD$5:$AD$16,MATCH("Echuca",'League Per Game'!$A$5:$A$16,0))</f>
        <v>17.1</v>
      </c>
      <c r="F39" s="16" t="n">
        <f aca="false">AVERAGE('League Per Game'!$AD$5:$AD$16)</f>
        <v>18.9666666666667</v>
      </c>
      <c r="G39" s="16" t="n">
        <f aca="false">E39-D39</f>
        <v>-1.1</v>
      </c>
      <c r="H39" s="17" t="n">
        <f aca="false">IF(D39=0,"",G39/D39)</f>
        <v>-0.0604395604395603</v>
      </c>
      <c r="I39" s="12" t="n">
        <f aca="false">IF(C39="N",RANK(D39,'League Per Game'!$AD$5:$AD$16,1),RANK(D39,'League Per Game'!$AD$5:$AD$16,0))</f>
        <v>8</v>
      </c>
      <c r="J39" s="12" t="n">
        <f aca="false">IF(C39="N",RANK(E39,'League Per Game'!$AD$5:$AD$16,1),RANK(E39,'League Per Game'!$AD$5:$AD$16,0))</f>
        <v>10</v>
      </c>
      <c r="K39" s="18" t="n">
        <f aca="false">IF(OR(C39="?",STDEVP('League Per Game'!$AD$5:$AD$16)=0),"",IF(C39="N",-1,1)*G39/STDEVP('League Per Game'!$AD$5:$AD$16))</f>
        <v>-0.483675508840143</v>
      </c>
      <c r="L39" s="12" t="str">
        <f aca="false">IF(K39="","Context only (no clear better direction)",IF(K39&gt;=$F$3,"PRIORITY: Echuca well ahead",IF(K39&gt;0,"Echuca ahead",IF(K39&lt;=-$F$3,"United strength","United ahead or level"))))</f>
        <v>United ahead or level</v>
      </c>
    </row>
    <row r="40" customFormat="false" ht="15" hidden="false" customHeight="false" outlineLevel="0" collapsed="false">
      <c r="A40" s="11" t="s">
        <v>135</v>
      </c>
      <c r="B40" s="12" t="s">
        <v>136</v>
      </c>
      <c r="C40" s="13" t="s">
        <v>179</v>
      </c>
      <c r="D40" s="14" t="n">
        <f aca="false">INDEX('League Per Game'!$AY$5:$AY$16,MATCH("Shepparton United",'League Per Game'!$A$5:$A$16,0))</f>
        <v>64</v>
      </c>
      <c r="E40" s="15" t="n">
        <f aca="false">INDEX('League Per Game'!$AY$5:$AY$16,MATCH("Echuca",'League Per Game'!$A$5:$A$16,0))</f>
        <v>63</v>
      </c>
      <c r="F40" s="16" t="n">
        <f aca="false">AVERAGE('League Per Game'!$AY$5:$AY$16)</f>
        <v>61.25</v>
      </c>
      <c r="G40" s="16" t="n">
        <f aca="false">E40-D40</f>
        <v>-1</v>
      </c>
      <c r="H40" s="17" t="n">
        <f aca="false">IF(D40=0,"",G40/D40)</f>
        <v>-0.015625</v>
      </c>
      <c r="I40" s="12" t="n">
        <f aca="false">IF(C40="N",RANK(D40,'League Per Game'!$AY$5:$AY$16,1),RANK(D40,'League Per Game'!$AY$5:$AY$16,0))</f>
        <v>1</v>
      </c>
      <c r="J40" s="12" t="n">
        <f aca="false">IF(C40="N",RANK(E40,'League Per Game'!$AY$5:$AY$16,1),RANK(E40,'League Per Game'!$AY$5:$AY$16,0))</f>
        <v>3</v>
      </c>
      <c r="K40" s="18" t="n">
        <f aca="false">IF(OR(C40="?",STDEVP('League Per Game'!$AY$5:$AY$16)=0),"",IF(C40="N",-1,1)*G40/STDEVP('League Per Game'!$AY$5:$AY$16))</f>
        <v>-0.532938710021193</v>
      </c>
      <c r="L40" s="12" t="str">
        <f aca="false">IF(K40="","Context only (no clear better direction)",IF(K40&gt;=$F$3,"PRIORITY: Echuca well ahead",IF(K40&gt;0,"Echuca ahead",IF(K40&lt;=-$F$3,"United strength","United ahead or level"))))</f>
        <v>United ahead or level</v>
      </c>
    </row>
    <row r="41" customFormat="false" ht="15" hidden="false" customHeight="false" outlineLevel="0" collapsed="false">
      <c r="A41" s="11" t="s">
        <v>101</v>
      </c>
      <c r="B41" s="12" t="s">
        <v>102</v>
      </c>
      <c r="C41" s="13" t="s">
        <v>179</v>
      </c>
      <c r="D41" s="14" t="n">
        <f aca="false">INDEX('League Per Game'!$X$5:$X$16,MATCH("Shepparton United",'League Per Game'!$A$5:$A$16,0))</f>
        <v>16.8</v>
      </c>
      <c r="E41" s="15" t="n">
        <f aca="false">INDEX('League Per Game'!$X$5:$X$16,MATCH("Echuca",'League Per Game'!$A$5:$A$16,0))</f>
        <v>16</v>
      </c>
      <c r="F41" s="16" t="n">
        <f aca="false">AVERAGE('League Per Game'!$X$5:$X$16)</f>
        <v>15.375</v>
      </c>
      <c r="G41" s="16" t="n">
        <f aca="false">E41-D41</f>
        <v>-0.800000000000001</v>
      </c>
      <c r="H41" s="17" t="n">
        <f aca="false">IF(D41=0,"",G41/D41)</f>
        <v>-0.0476190476190477</v>
      </c>
      <c r="I41" s="12" t="n">
        <f aca="false">IF(C41="N",RANK(D41,'League Per Game'!$X$5:$X$16,1),RANK(D41,'League Per Game'!$X$5:$X$16,0))</f>
        <v>3</v>
      </c>
      <c r="J41" s="12" t="n">
        <f aca="false">IF(C41="N",RANK(E41,'League Per Game'!$X$5:$X$16,1),RANK(E41,'League Per Game'!$X$5:$X$16,0))</f>
        <v>5</v>
      </c>
      <c r="K41" s="18" t="n">
        <f aca="false">IF(OR(C41="?",STDEVP('League Per Game'!$X$5:$X$16)=0),"",IF(C41="N",-1,1)*G41/STDEVP('League Per Game'!$X$5:$X$16))</f>
        <v>-0.588669094548441</v>
      </c>
      <c r="L41" s="12" t="str">
        <f aca="false">IF(K41="","Context only (no clear better direction)",IF(K41&gt;=$F$3,"PRIORITY: Echuca well ahead",IF(K41&gt;0,"Echuca ahead",IF(K41&lt;=-$F$3,"United strength","United ahead or level"))))</f>
        <v>United ahead or level</v>
      </c>
    </row>
    <row r="42" customFormat="false" ht="15" hidden="false" customHeight="false" outlineLevel="0" collapsed="false">
      <c r="A42" s="11" t="s">
        <v>71</v>
      </c>
      <c r="B42" s="12" t="s">
        <v>72</v>
      </c>
      <c r="C42" s="13" t="s">
        <v>180</v>
      </c>
      <c r="D42" s="14" t="n">
        <f aca="false">INDEX('League Per Game'!$AJ$5:$AJ$16,MATCH("Shepparton United",'League Per Game'!$A$5:$A$16,0))</f>
        <v>24.6</v>
      </c>
      <c r="E42" s="15" t="n">
        <f aca="false">INDEX('League Per Game'!$AJ$5:$AJ$16,MATCH("Echuca",'League Per Game'!$A$5:$A$16,0))</f>
        <v>27.4</v>
      </c>
      <c r="F42" s="16" t="n">
        <f aca="false">AVERAGE('League Per Game'!$AJ$5:$AJ$16)</f>
        <v>24.65</v>
      </c>
      <c r="G42" s="16" t="n">
        <f aca="false">E42-D42</f>
        <v>2.8</v>
      </c>
      <c r="H42" s="17" t="n">
        <f aca="false">IF(D42=0,"",G42/D42)</f>
        <v>0.113821138211382</v>
      </c>
      <c r="I42" s="12" t="n">
        <f aca="false">IF(C42="N",RANK(D42,'League Per Game'!$AJ$5:$AJ$16,1),RANK(D42,'League Per Game'!$AJ$5:$AJ$16,0))</f>
        <v>7</v>
      </c>
      <c r="J42" s="12" t="n">
        <f aca="false">IF(C42="N",RANK(E42,'League Per Game'!$AJ$5:$AJ$16,1),RANK(E42,'League Per Game'!$AJ$5:$AJ$16,0))</f>
        <v>9</v>
      </c>
      <c r="K42" s="18" t="n">
        <f aca="false">IF(OR(C42="?",STDEVP('League Per Game'!$AJ$5:$AJ$16)=0),"",IF(C42="N",-1,1)*G42/STDEVP('League Per Game'!$AJ$5:$AJ$16))</f>
        <v>-0.781936844693668</v>
      </c>
      <c r="L42" s="12" t="str">
        <f aca="false">IF(K42="","Context only (no clear better direction)",IF(K42&gt;=$F$3,"PRIORITY: Echuca well ahead",IF(K42&gt;0,"Echuca ahead",IF(K42&lt;=-$F$3,"United strength","United ahead or level"))))</f>
        <v>United strength</v>
      </c>
    </row>
    <row r="43" customFormat="false" ht="15" hidden="false" customHeight="false" outlineLevel="0" collapsed="false">
      <c r="A43" s="11" t="s">
        <v>93</v>
      </c>
      <c r="B43" s="12" t="s">
        <v>94</v>
      </c>
      <c r="C43" s="13" t="s">
        <v>179</v>
      </c>
      <c r="D43" s="14" t="n">
        <f aca="false">INDEX('League Per Game'!$Q$5:$Q$16,MATCH("Shepparton United",'League Per Game'!$A$5:$A$16,0))</f>
        <v>11.8</v>
      </c>
      <c r="E43" s="15" t="n">
        <f aca="false">INDEX('League Per Game'!$Q$5:$Q$16,MATCH("Echuca",'League Per Game'!$A$5:$A$16,0))</f>
        <v>9.2</v>
      </c>
      <c r="F43" s="16" t="n">
        <f aca="false">AVERAGE('League Per Game'!$Q$5:$Q$16)</f>
        <v>11.1666666666667</v>
      </c>
      <c r="G43" s="16" t="n">
        <f aca="false">E43-D43</f>
        <v>-2.6</v>
      </c>
      <c r="H43" s="17" t="n">
        <f aca="false">IF(D43=0,"",G43/D43)</f>
        <v>-0.220338983050848</v>
      </c>
      <c r="I43" s="12" t="n">
        <f aca="false">IF(C43="N",RANK(D43,'League Per Game'!$Q$5:$Q$16,1),RANK(D43,'League Per Game'!$Q$5:$Q$16,0))</f>
        <v>4</v>
      </c>
      <c r="J43" s="12" t="n">
        <f aca="false">IF(C43="N",RANK(E43,'League Per Game'!$Q$5:$Q$16,1),RANK(E43,'League Per Game'!$Q$5:$Q$16,0))</f>
        <v>9</v>
      </c>
      <c r="K43" s="18" t="n">
        <f aca="false">IF(OR(C43="?",STDEVP('League Per Game'!$Q$5:$Q$16)=0),"",IF(C43="N",-1,1)*G43/STDEVP('League Per Game'!$Q$5:$Q$16))</f>
        <v>-0.994094476633872</v>
      </c>
      <c r="L43" s="12" t="str">
        <f aca="false">IF(K43="","Context only (no clear better direction)",IF(K43&gt;=$F$3,"PRIORITY: Echuca well ahead",IF(K43&gt;0,"Echuca ahead",IF(K43&lt;=-$F$3,"United strength","United ahead or level"))))</f>
        <v>United strength</v>
      </c>
    </row>
    <row r="44" customFormat="false" ht="15" hidden="false" customHeight="false" outlineLevel="0" collapsed="false">
      <c r="A44" s="11" t="s">
        <v>107</v>
      </c>
      <c r="B44" s="12" t="s">
        <v>108</v>
      </c>
      <c r="C44" s="13" t="s">
        <v>179</v>
      </c>
      <c r="D44" s="14" t="n">
        <f aca="false">INDEX('League Per Game'!$AU$5:$AU$16,MATCH("Shepparton United",'League Per Game'!$A$5:$A$16,0))</f>
        <v>64</v>
      </c>
      <c r="E44" s="15" t="n">
        <f aca="false">INDEX('League Per Game'!$AU$5:$AU$16,MATCH("Echuca",'League Per Game'!$A$5:$A$16,0))</f>
        <v>62</v>
      </c>
      <c r="F44" s="16" t="n">
        <f aca="false">AVERAGE('League Per Game'!$AU$5:$AU$16)</f>
        <v>60.25</v>
      </c>
      <c r="G44" s="16" t="n">
        <f aca="false">E44-D44</f>
        <v>-2</v>
      </c>
      <c r="H44" s="17" t="n">
        <f aca="false">IF(D44=0,"",G44/D44)</f>
        <v>-0.03125</v>
      </c>
      <c r="I44" s="12" t="n">
        <f aca="false">IF(C44="N",RANK(D44,'League Per Game'!$AU$5:$AU$16,1),RANK(D44,'League Per Game'!$AU$5:$AU$16,0))</f>
        <v>1</v>
      </c>
      <c r="J44" s="12" t="n">
        <f aca="false">IF(C44="N",RANK(E44,'League Per Game'!$AU$5:$AU$16,1),RANK(E44,'League Per Game'!$AU$5:$AU$16,0))</f>
        <v>2</v>
      </c>
      <c r="K44" s="18" t="n">
        <f aca="false">IF(OR(C44="?",STDEVP('League Per Game'!$AU$5:$AU$16)=0),"",IF(C44="N",-1,1)*G44/STDEVP('League Per Game'!$AU$5:$AU$16))</f>
        <v>-1.04151128784659</v>
      </c>
      <c r="L44" s="12" t="str">
        <f aca="false">IF(K44="","Context only (no clear better direction)",IF(K44&gt;=$F$3,"PRIORITY: Echuca well ahead",IF(K44&gt;0,"Echuca ahead",IF(K44&lt;=-$F$3,"United strength","United ahead or level"))))</f>
        <v>United strength</v>
      </c>
    </row>
    <row r="45" customFormat="false" ht="15" hidden="false" customHeight="false" outlineLevel="0" collapsed="false">
      <c r="A45" s="11" t="s">
        <v>119</v>
      </c>
      <c r="B45" s="12" t="s">
        <v>120</v>
      </c>
      <c r="C45" s="13" t="s">
        <v>179</v>
      </c>
      <c r="D45" s="14" t="n">
        <f aca="false">INDEX('League Per Game'!$H$5:$H$16,MATCH("Shepparton United",'League Per Game'!$A$5:$A$16,0))</f>
        <v>110.4</v>
      </c>
      <c r="E45" s="15" t="n">
        <f aca="false">INDEX('League Per Game'!$H$5:$H$16,MATCH("Echuca",'League Per Game'!$A$5:$A$16,0))</f>
        <v>99.3</v>
      </c>
      <c r="F45" s="16" t="n">
        <f aca="false">AVERAGE('League Per Game'!$H$5:$H$16)</f>
        <v>91.8166666666667</v>
      </c>
      <c r="G45" s="16" t="n">
        <f aca="false">E45-D45</f>
        <v>-11.1</v>
      </c>
      <c r="H45" s="17" t="n">
        <f aca="false">IF(D45=0,"",G45/D45)</f>
        <v>-0.10054347826087</v>
      </c>
      <c r="I45" s="12" t="n">
        <f aca="false">IF(C45="N",RANK(D45,'League Per Game'!$H$5:$H$16,1),RANK(D45,'League Per Game'!$H$5:$H$16,0))</f>
        <v>1</v>
      </c>
      <c r="J45" s="12" t="n">
        <f aca="false">IF(C45="N",RANK(E45,'League Per Game'!$H$5:$H$16,1),RANK(E45,'League Per Game'!$H$5:$H$16,0))</f>
        <v>4</v>
      </c>
      <c r="K45" s="18" t="n">
        <f aca="false">IF(OR(C45="?",STDEVP('League Per Game'!$H$5:$H$16)=0),"",IF(C45="N",-1,1)*G45/STDEVP('League Per Game'!$H$5:$H$16))</f>
        <v>-1.12431528418893</v>
      </c>
      <c r="L45" s="12" t="str">
        <f aca="false">IF(K45="","Context only (no clear better direction)",IF(K45&gt;=$F$3,"PRIORITY: Echuca well ahead",IF(K45&gt;0,"Echuca ahead",IF(K45&lt;=-$F$3,"United strength","United ahead or level"))))</f>
        <v>United strength</v>
      </c>
    </row>
    <row r="46" customFormat="false" ht="15" hidden="false" customHeight="false" outlineLevel="0" collapsed="false">
      <c r="A46" s="11" t="s">
        <v>51</v>
      </c>
      <c r="B46" s="12" t="s">
        <v>52</v>
      </c>
      <c r="C46" s="13" t="s">
        <v>179</v>
      </c>
      <c r="D46" s="14" t="n">
        <f aca="false">INDEX('League Per Game'!$AL$5:$AL$16,MATCH("Shepparton United",'League Per Game'!$A$5:$A$16,0))</f>
        <v>12.7</v>
      </c>
      <c r="E46" s="15" t="n">
        <f aca="false">INDEX('League Per Game'!$AL$5:$AL$16,MATCH("Echuca",'League Per Game'!$A$5:$A$16,0))</f>
        <v>10.8</v>
      </c>
      <c r="F46" s="16" t="n">
        <f aca="false">AVERAGE('League Per Game'!$AL$5:$AL$16)</f>
        <v>12.3333333333333</v>
      </c>
      <c r="G46" s="16" t="n">
        <f aca="false">E46-D46</f>
        <v>-1.9</v>
      </c>
      <c r="H46" s="17" t="n">
        <f aca="false">IF(D46=0,"",G46/D46)</f>
        <v>-0.149606299212598</v>
      </c>
      <c r="I46" s="12" t="n">
        <f aca="false">IF(C46="N",RANK(D46,'League Per Game'!$AL$5:$AL$16,1),RANK(D46,'League Per Game'!$AL$5:$AL$16,0))</f>
        <v>5</v>
      </c>
      <c r="J46" s="12" t="n">
        <f aca="false">IF(C46="N",RANK(E46,'League Per Game'!$AL$5:$AL$16,1),RANK(E46,'League Per Game'!$AL$5:$AL$16,0))</f>
        <v>11</v>
      </c>
      <c r="K46" s="18" t="n">
        <f aca="false">IF(OR(C46="?",STDEVP('League Per Game'!$AL$5:$AL$16)=0),"",IF(C46="N",-1,1)*G46/STDEVP('League Per Game'!$AL$5:$AL$16))</f>
        <v>-1.28276259234556</v>
      </c>
      <c r="L46" s="12" t="str">
        <f aca="false">IF(K46="","Context only (no clear better direction)",IF(K46&gt;=$F$3,"PRIORITY: Echuca well ahead",IF(K46&gt;0,"Echuca ahead",IF(K46&lt;=-$F$3,"United strength","United ahead or level"))))</f>
        <v>United strength</v>
      </c>
    </row>
    <row r="47" customFormat="false" ht="15" hidden="false" customHeight="false" outlineLevel="0" collapsed="false">
      <c r="A47" s="11" t="s">
        <v>161</v>
      </c>
      <c r="B47" s="12" t="s">
        <v>162</v>
      </c>
      <c r="C47" s="13" t="s">
        <v>179</v>
      </c>
      <c r="D47" s="14" t="n">
        <f aca="false">INDEX('League Per Game'!$W$5:$W$16,MATCH("Shepparton United",'League Per Game'!$A$5:$A$16,0))</f>
        <v>96.1</v>
      </c>
      <c r="E47" s="15" t="n">
        <f aca="false">INDEX('League Per Game'!$W$5:$W$16,MATCH("Echuca",'League Per Game'!$A$5:$A$16,0))</f>
        <v>84</v>
      </c>
      <c r="F47" s="16" t="n">
        <f aca="false">AVERAGE('League Per Game'!$W$5:$W$16)</f>
        <v>78.5083333333333</v>
      </c>
      <c r="G47" s="16" t="n">
        <f aca="false">E47-D47</f>
        <v>-12.1</v>
      </c>
      <c r="H47" s="17" t="n">
        <f aca="false">IF(D47=0,"",G47/D47)</f>
        <v>-0.125910509885536</v>
      </c>
      <c r="I47" s="12" t="n">
        <f aca="false">IF(C47="N",RANK(D47,'League Per Game'!$W$5:$W$16,1),RANK(D47,'League Per Game'!$W$5:$W$16,0))</f>
        <v>1</v>
      </c>
      <c r="J47" s="12" t="n">
        <f aca="false">IF(C47="N",RANK(E47,'League Per Game'!$W$5:$W$16,1),RANK(E47,'League Per Game'!$W$5:$W$16,0))</f>
        <v>4</v>
      </c>
      <c r="K47" s="18" t="n">
        <f aca="false">IF(OR(C47="?",STDEVP('League Per Game'!$W$5:$W$16)=0),"",IF(C47="N",-1,1)*G47/STDEVP('League Per Game'!$W$5:$W$16))</f>
        <v>-1.33650049816754</v>
      </c>
      <c r="L47" s="12" t="str">
        <f aca="false">IF(K47="","Context only (no clear better direction)",IF(K47&gt;=$F$3,"PRIORITY: Echuca well ahead",IF(K47&gt;0,"Echuca ahead",IF(K47&lt;=-$F$3,"United strength","United ahead or level"))))</f>
        <v>United strength</v>
      </c>
    </row>
    <row r="48" customFormat="false" ht="15" hidden="false" customHeight="false" outlineLevel="0" collapsed="false">
      <c r="A48" s="11" t="s">
        <v>125</v>
      </c>
      <c r="B48" s="12" t="s">
        <v>126</v>
      </c>
      <c r="C48" s="13" t="s">
        <v>180</v>
      </c>
      <c r="D48" s="14" t="n">
        <f aca="false">INDEX('League Per Game'!$AI$5:$AI$16,MATCH("Shepparton United",'League Per Game'!$A$5:$A$16,0))</f>
        <v>39</v>
      </c>
      <c r="E48" s="15" t="n">
        <f aca="false">INDEX('League Per Game'!$AI$5:$AI$16,MATCH("Echuca",'League Per Game'!$A$5:$A$16,0))</f>
        <v>43.2</v>
      </c>
      <c r="F48" s="16" t="n">
        <f aca="false">AVERAGE('League Per Game'!$AI$5:$AI$16)</f>
        <v>43.6916666666667</v>
      </c>
      <c r="G48" s="16" t="n">
        <f aca="false">E48-D48</f>
        <v>4.2</v>
      </c>
      <c r="H48" s="17" t="n">
        <f aca="false">IF(D48=0,"",G48/D48)</f>
        <v>0.107692307692308</v>
      </c>
      <c r="I48" s="12" t="n">
        <f aca="false">IF(C48="N",RANK(D48,'League Per Game'!$AI$5:$AI$16,1),RANK(D48,'League Per Game'!$AI$5:$AI$16,0))</f>
        <v>1</v>
      </c>
      <c r="J48" s="12" t="n">
        <f aca="false">IF(C48="N",RANK(E48,'League Per Game'!$AI$5:$AI$16,1),RANK(E48,'League Per Game'!$AI$5:$AI$16,0))</f>
        <v>6</v>
      </c>
      <c r="K48" s="18" t="n">
        <f aca="false">IF(OR(C48="?",STDEVP('League Per Game'!$AI$5:$AI$16)=0),"",IF(C48="N",-1,1)*G48/STDEVP('League Per Game'!$AI$5:$AI$16))</f>
        <v>-1.75675885073624</v>
      </c>
      <c r="L48" s="12" t="str">
        <f aca="false">IF(K48="","Context only (no clear better direction)",IF(K48&gt;=$F$3,"PRIORITY: Echuca well ahead",IF(K48&gt;0,"Echuca ahead",IF(K48&lt;=-$F$3,"United strength","United ahead or level"))))</f>
        <v>United strength</v>
      </c>
    </row>
    <row r="49" customFormat="false" ht="15" hidden="false" customHeight="false" outlineLevel="0" collapsed="false">
      <c r="A49" s="11" t="s">
        <v>133</v>
      </c>
      <c r="B49" s="12" t="s">
        <v>134</v>
      </c>
      <c r="C49" s="13" t="s">
        <v>181</v>
      </c>
      <c r="D49" s="14" t="n">
        <f aca="false">INDEX('League Per Game'!$AC$5:$AC$16,MATCH("Shepparton United",'League Per Game'!$A$5:$A$16,0))</f>
        <v>30.8</v>
      </c>
      <c r="E49" s="15" t="n">
        <f aca="false">INDEX('League Per Game'!$AC$5:$AC$16,MATCH("Echuca",'League Per Game'!$A$5:$A$16,0))</f>
        <v>33.2</v>
      </c>
      <c r="F49" s="16" t="n">
        <f aca="false">AVERAGE('League Per Game'!$AC$5:$AC$16)</f>
        <v>35.7416666666667</v>
      </c>
      <c r="G49" s="16" t="n">
        <f aca="false">E49-D49</f>
        <v>2.4</v>
      </c>
      <c r="H49" s="17" t="n">
        <f aca="false">IF(D49=0,"",G49/D49)</f>
        <v>0.077922077922078</v>
      </c>
      <c r="I49" s="12" t="n">
        <f aca="false">IF(C49="N",RANK(D49,'League Per Game'!$AC$5:$AC$16,1),RANK(D49,'League Per Game'!$AC$5:$AC$16,0))</f>
        <v>12</v>
      </c>
      <c r="J49" s="12" t="n">
        <f aca="false">IF(C49="N",RANK(E49,'League Per Game'!$AC$5:$AC$16,1),RANK(E49,'League Per Game'!$AC$5:$AC$16,0))</f>
        <v>9</v>
      </c>
      <c r="K49" s="18" t="str">
        <f aca="false">IF(OR(C49="?",STDEVP('League Per Game'!$AC$5:$AC$16)=0),"",IF(C49="N",-1,1)*G49/STDEVP('League Per Game'!$AC$5:$AC$16))</f>
        <v/>
      </c>
      <c r="L49" s="12" t="str">
        <f aca="false">IF(K49="","Context only (no clear better direction)",IF(K49&gt;=$F$3,"PRIORITY: Echuca well ahead",IF(K49&gt;0,"Echuca ahead",IF(K49&lt;=-$F$3,"United strength","United ahead or level"))))</f>
        <v>Context only (no clear better direction)</v>
      </c>
    </row>
    <row r="50" customFormat="false" ht="15" hidden="false" customHeight="false" outlineLevel="0" collapsed="false">
      <c r="A50" s="11" t="s">
        <v>111</v>
      </c>
      <c r="B50" s="12" t="s">
        <v>112</v>
      </c>
      <c r="C50" s="13" t="s">
        <v>181</v>
      </c>
      <c r="D50" s="14" t="n">
        <f aca="false">INDEX('League Per Game'!$AE$5:$AE$16,MATCH("Shepparton United",'League Per Game'!$A$5:$A$16,0))</f>
        <v>9.2</v>
      </c>
      <c r="E50" s="15" t="n">
        <f aca="false">INDEX('League Per Game'!$AE$5:$AE$16,MATCH("Echuca",'League Per Game'!$A$5:$A$16,0))</f>
        <v>9</v>
      </c>
      <c r="F50" s="16" t="n">
        <f aca="false">AVERAGE('League Per Game'!$AE$5:$AE$16)</f>
        <v>10.8583333333333</v>
      </c>
      <c r="G50" s="16" t="n">
        <f aca="false">E50-D50</f>
        <v>-0.199999999999999</v>
      </c>
      <c r="H50" s="17" t="n">
        <f aca="false">IF(D50=0,"",G50/D50)</f>
        <v>-0.0217391304347825</v>
      </c>
      <c r="I50" s="12" t="n">
        <f aca="false">IF(C50="N",RANK(D50,'League Per Game'!$AE$5:$AE$16,1),RANK(D50,'League Per Game'!$AE$5:$AE$16,0))</f>
        <v>10</v>
      </c>
      <c r="J50" s="12" t="n">
        <f aca="false">IF(C50="N",RANK(E50,'League Per Game'!$AE$5:$AE$16,1),RANK(E50,'League Per Game'!$AE$5:$AE$16,0))</f>
        <v>11</v>
      </c>
      <c r="K50" s="18" t="str">
        <f aca="false">IF(OR(C50="?",STDEVP('League Per Game'!$AE$5:$AE$16)=0),"",IF(C50="N",-1,1)*G50/STDEVP('League Per Game'!$AE$5:$AE$16))</f>
        <v/>
      </c>
      <c r="L50" s="12" t="str">
        <f aca="false">IF(K50="","Context only (no clear better direction)",IF(K50&gt;=$F$3,"PRIORITY: Echuca well ahead",IF(K50&gt;0,"Echuca ahead",IF(K50&lt;=-$F$3,"United strength","United ahead or level"))))</f>
        <v>Context only (no clear better direction)</v>
      </c>
    </row>
    <row r="51" customFormat="false" ht="15" hidden="false" customHeight="false" outlineLevel="0" collapsed="false">
      <c r="A51" s="11" t="s">
        <v>95</v>
      </c>
      <c r="B51" s="12" t="s">
        <v>96</v>
      </c>
      <c r="C51" s="13" t="s">
        <v>181</v>
      </c>
      <c r="D51" s="14" t="n">
        <f aca="false">INDEX('League Per Game'!$U$5:$U$16,MATCH("Shepparton United",'League Per Game'!$A$5:$A$16,0))</f>
        <v>7.4</v>
      </c>
      <c r="E51" s="15" t="n">
        <f aca="false">INDEX('League Per Game'!$U$5:$U$16,MATCH("Echuca",'League Per Game'!$A$5:$A$16,0))</f>
        <v>8.3</v>
      </c>
      <c r="F51" s="16" t="n">
        <f aca="false">AVERAGE('League Per Game'!$U$5:$U$16)</f>
        <v>8.66666666666667</v>
      </c>
      <c r="G51" s="16" t="n">
        <f aca="false">E51-D51</f>
        <v>0.9</v>
      </c>
      <c r="H51" s="17" t="n">
        <f aca="false">IF(D51=0,"",G51/D51)</f>
        <v>0.121621621621622</v>
      </c>
      <c r="I51" s="12" t="n">
        <f aca="false">IF(C51="N",RANK(D51,'League Per Game'!$U$5:$U$16,1),RANK(D51,'League Per Game'!$U$5:$U$16,0))</f>
        <v>10</v>
      </c>
      <c r="J51" s="12" t="n">
        <f aca="false">IF(C51="N",RANK(E51,'League Per Game'!$U$5:$U$16,1),RANK(E51,'League Per Game'!$U$5:$U$16,0))</f>
        <v>7</v>
      </c>
      <c r="K51" s="18" t="str">
        <f aca="false">IF(OR(C51="?",STDEVP('League Per Game'!$U$5:$U$16)=0),"",IF(C51="N",-1,1)*G51/STDEVP('League Per Game'!$U$5:$U$16))</f>
        <v/>
      </c>
      <c r="L51" s="12" t="str">
        <f aca="false">IF(K51="","Context only (no clear better direction)",IF(K51&gt;=$F$3,"PRIORITY: Echuca well ahead",IF(K51&gt;0,"Echuca ahead",IF(K51&lt;=-$F$3,"United strength","United ahead or level"))))</f>
        <v>Context only (no clear better direction)</v>
      </c>
    </row>
    <row r="52" customFormat="false" ht="15" hidden="false" customHeight="false" outlineLevel="0" collapsed="false">
      <c r="A52" s="11" t="s">
        <v>91</v>
      </c>
      <c r="B52" s="12" t="s">
        <v>92</v>
      </c>
      <c r="C52" s="13" t="s">
        <v>181</v>
      </c>
      <c r="D52" s="14" t="n">
        <f aca="false">INDEX('League Per Game'!$P$5:$P$16,MATCH("Shepparton United",'League Per Game'!$A$5:$A$16,0))</f>
        <v>56.2</v>
      </c>
      <c r="E52" s="15" t="n">
        <f aca="false">INDEX('League Per Game'!$P$5:$P$16,MATCH("Echuca",'League Per Game'!$A$5:$A$16,0))</f>
        <v>42.3</v>
      </c>
      <c r="F52" s="16" t="n">
        <f aca="false">AVERAGE('League Per Game'!$P$5:$P$16)</f>
        <v>48.5833333333333</v>
      </c>
      <c r="G52" s="16" t="n">
        <f aca="false">E52-D52</f>
        <v>-13.9</v>
      </c>
      <c r="H52" s="17" t="n">
        <f aca="false">IF(D52=0,"",G52/D52)</f>
        <v>-0.247330960854093</v>
      </c>
      <c r="I52" s="12" t="n">
        <f aca="false">IF(C52="N",RANK(D52,'League Per Game'!$P$5:$P$16,1),RANK(D52,'League Per Game'!$P$5:$P$16,0))</f>
        <v>3</v>
      </c>
      <c r="J52" s="12" t="n">
        <f aca="false">IF(C52="N",RANK(E52,'League Per Game'!$P$5:$P$16,1),RANK(E52,'League Per Game'!$P$5:$P$16,0))</f>
        <v>9</v>
      </c>
      <c r="K52" s="18" t="str">
        <f aca="false">IF(OR(C52="?",STDEVP('League Per Game'!$P$5:$P$16)=0),"",IF(C52="N",-1,1)*G52/STDEVP('League Per Game'!$P$5:$P$16))</f>
        <v/>
      </c>
      <c r="L52" s="12" t="str">
        <f aca="false">IF(K52="","Context only (no clear better direction)",IF(K52&gt;=$F$3,"PRIORITY: Echuca well ahead",IF(K52&gt;0,"Echuca ahead",IF(K52&lt;=-$F$3,"United strength","United ahead or level"))))</f>
        <v>Context only (no clear better direction)</v>
      </c>
    </row>
    <row r="53" customFormat="false" ht="15" hidden="false" customHeight="false" outlineLevel="0" collapsed="false">
      <c r="A53" s="11" t="s">
        <v>79</v>
      </c>
      <c r="B53" s="12" t="s">
        <v>80</v>
      </c>
      <c r="C53" s="13" t="s">
        <v>181</v>
      </c>
      <c r="D53" s="14" t="n">
        <f aca="false">INDEX('League Per Game'!$AG$5:$AG$16,MATCH("Shepparton United",'League Per Game'!$A$5:$A$16,0))</f>
        <v>7.1</v>
      </c>
      <c r="E53" s="15" t="n">
        <f aca="false">INDEX('League Per Game'!$AG$5:$AG$16,MATCH("Echuca",'League Per Game'!$A$5:$A$16,0))</f>
        <v>9.5</v>
      </c>
      <c r="F53" s="16" t="n">
        <f aca="false">AVERAGE('League Per Game'!$AG$5:$AG$16)</f>
        <v>6.8</v>
      </c>
      <c r="G53" s="16" t="n">
        <f aca="false">E53-D53</f>
        <v>2.4</v>
      </c>
      <c r="H53" s="17" t="n">
        <f aca="false">IF(D53=0,"",G53/D53)</f>
        <v>0.338028169014085</v>
      </c>
      <c r="I53" s="12" t="n">
        <f aca="false">IF(C53="N",RANK(D53,'League Per Game'!$AG$5:$AG$16,1),RANK(D53,'League Per Game'!$AG$5:$AG$16,0))</f>
        <v>6</v>
      </c>
      <c r="J53" s="12" t="n">
        <f aca="false">IF(C53="N",RANK(E53,'League Per Game'!$AG$5:$AG$16,1),RANK(E53,'League Per Game'!$AG$5:$AG$16,0))</f>
        <v>1</v>
      </c>
      <c r="K53" s="18" t="str">
        <f aca="false">IF(OR(C53="?",STDEVP('League Per Game'!$AG$5:$AG$16)=0),"",IF(C53="N",-1,1)*G53/STDEVP('League Per Game'!$AG$5:$AG$16))</f>
        <v/>
      </c>
      <c r="L53" s="12" t="str">
        <f aca="false">IF(K53="","Context only (no clear better direction)",IF(K53&gt;=$F$3,"PRIORITY: Echuca well ahead",IF(K53&gt;0,"Echuca ahead",IF(K53&lt;=-$F$3,"United strength","United ahead or level"))))</f>
        <v>Context only (no clear better direction)</v>
      </c>
    </row>
    <row r="54" customFormat="false" ht="15" hidden="false" customHeight="false" outlineLevel="0" collapsed="false">
      <c r="A54" s="11" t="s">
        <v>33</v>
      </c>
      <c r="B54" s="12" t="s">
        <v>34</v>
      </c>
      <c r="C54" s="13" t="s">
        <v>181</v>
      </c>
      <c r="D54" s="14" t="n">
        <f aca="false">INDEX('League Per Game'!$L$5:$L$16,MATCH("Shepparton United",'League Per Game'!$A$5:$A$16,0))</f>
        <v>9.1</v>
      </c>
      <c r="E54" s="15" t="n">
        <f aca="false">INDEX('League Per Game'!$L$5:$L$16,MATCH("Echuca",'League Per Game'!$A$5:$A$16,0))</f>
        <v>11.7</v>
      </c>
      <c r="F54" s="16" t="n">
        <f aca="false">AVERAGE('League Per Game'!$L$5:$L$16)</f>
        <v>8.81666666666667</v>
      </c>
      <c r="G54" s="16" t="n">
        <f aca="false">E54-D54</f>
        <v>2.6</v>
      </c>
      <c r="H54" s="17" t="n">
        <f aca="false">IF(D54=0,"",G54/D54)</f>
        <v>0.285714285714286</v>
      </c>
      <c r="I54" s="12" t="n">
        <f aca="false">IF(C54="N",RANK(D54,'League Per Game'!$L$5:$L$16,1),RANK(D54,'League Per Game'!$L$5:$L$16,0))</f>
        <v>7</v>
      </c>
      <c r="J54" s="12" t="n">
        <f aca="false">IF(C54="N",RANK(E54,'League Per Game'!$L$5:$L$16,1),RANK(E54,'League Per Game'!$L$5:$L$16,0))</f>
        <v>1</v>
      </c>
      <c r="K54" s="18" t="str">
        <f aca="false">IF(OR(C54="?",STDEVP('League Per Game'!$L$5:$L$16)=0),"",IF(C54="N",-1,1)*G54/STDEVP('League Per Game'!$L$5:$L$16))</f>
        <v/>
      </c>
      <c r="L54" s="12" t="str">
        <f aca="false">IF(K54="","Context only (no clear better direction)",IF(K54&gt;=$F$3,"PRIORITY: Echuca well ahead",IF(K54&gt;0,"Echuca ahead",IF(K54&lt;=-$F$3,"United strength","United ahead or level"))))</f>
        <v>Context only (no clear better direction)</v>
      </c>
    </row>
    <row r="57" customFormat="false" ht="15" hidden="false" customHeight="false" outlineLevel="0" collapsed="false">
      <c r="A57" s="19" t="s">
        <v>182</v>
      </c>
    </row>
    <row r="58" customFormat="false" ht="45" hidden="false" customHeight="true" outlineLevel="0" collapsed="false">
      <c r="A58" s="2" t="s">
        <v>183</v>
      </c>
      <c r="B58" s="2" t="s">
        <v>184</v>
      </c>
      <c r="C58" s="2" t="s">
        <v>56</v>
      </c>
      <c r="D58" s="2" t="s">
        <v>50</v>
      </c>
      <c r="E58" s="2" t="s">
        <v>54</v>
      </c>
      <c r="F58" s="2" t="s">
        <v>98</v>
      </c>
      <c r="G58" s="2" t="s">
        <v>122</v>
      </c>
      <c r="H58" s="2" t="s">
        <v>120</v>
      </c>
      <c r="I58" s="2" t="s">
        <v>152</v>
      </c>
      <c r="J58" s="2" t="s">
        <v>130</v>
      </c>
      <c r="K58" s="2" t="s">
        <v>128</v>
      </c>
      <c r="L58" s="2" t="s">
        <v>160</v>
      </c>
      <c r="M58" s="2" t="s">
        <v>146</v>
      </c>
      <c r="N58" s="2" t="s">
        <v>74</v>
      </c>
      <c r="O58" s="2" t="s">
        <v>140</v>
      </c>
    </row>
    <row r="59" customFormat="false" ht="15" hidden="false" customHeight="false" outlineLevel="0" collapsed="false">
      <c r="A59" s="20" t="n">
        <f aca="false">'United Games For'!B10</f>
        <v>6</v>
      </c>
      <c r="B59" s="21" t="s">
        <v>185</v>
      </c>
      <c r="C59" s="22" t="n">
        <f aca="false">'United Games For'!E10</f>
        <v>344</v>
      </c>
      <c r="D59" s="22" t="n">
        <f aca="false">'United Games For'!H10</f>
        <v>133</v>
      </c>
      <c r="E59" s="22" t="n">
        <f aca="false">'United Games For'!W10</f>
        <v>40</v>
      </c>
      <c r="F59" s="22" t="n">
        <f aca="false">'United Games For'!AA10</f>
        <v>42</v>
      </c>
      <c r="G59" s="22" t="n">
        <f aca="false">'United Games For'!S10</f>
        <v>14</v>
      </c>
      <c r="H59" s="22" t="n">
        <f aca="false">'United Games For'!O10</f>
        <v>126</v>
      </c>
      <c r="I59" s="22" t="n">
        <f aca="false">'United Games For'!AP10</f>
        <v>60</v>
      </c>
      <c r="J59" s="22" t="n">
        <f aca="false">'United Games For'!AK10</f>
        <v>18</v>
      </c>
      <c r="K59" s="22" t="n">
        <f aca="false">'United Games For'!AJ10</f>
        <v>88</v>
      </c>
      <c r="L59" s="22" t="n">
        <f aca="false">'United Games For'!AF10</f>
        <v>64</v>
      </c>
      <c r="M59" s="22" t="n">
        <f aca="false">'United Games For'!AY10</f>
        <v>20</v>
      </c>
      <c r="N59" s="22" t="n">
        <f aca="false">'United Games For'!AU10</f>
        <v>8</v>
      </c>
      <c r="O59" s="22" t="n">
        <f aca="false">'United Games For'!T10</f>
        <v>1585</v>
      </c>
    </row>
    <row r="60" customFormat="false" ht="15" hidden="false" customHeight="false" outlineLevel="0" collapsed="false">
      <c r="A60" s="23" t="n">
        <f aca="false">'United Games For'!B10</f>
        <v>6</v>
      </c>
      <c r="B60" s="24" t="s">
        <v>186</v>
      </c>
      <c r="C60" s="25" t="n">
        <f aca="false">'United Games Against'!E10</f>
        <v>346</v>
      </c>
      <c r="D60" s="25" t="n">
        <f aca="false">'United Games Against'!H10</f>
        <v>130</v>
      </c>
      <c r="E60" s="25" t="n">
        <f aca="false">'United Games Against'!W10</f>
        <v>49</v>
      </c>
      <c r="F60" s="25" t="n">
        <f aca="false">'United Games Against'!AA10</f>
        <v>42</v>
      </c>
      <c r="G60" s="25" t="n">
        <f aca="false">'United Games Against'!S10</f>
        <v>11</v>
      </c>
      <c r="H60" s="25" t="n">
        <f aca="false">'United Games Against'!O10</f>
        <v>102</v>
      </c>
      <c r="I60" s="25" t="n">
        <f aca="false">'United Games Against'!AP10</f>
        <v>77</v>
      </c>
      <c r="J60" s="25" t="n">
        <f aca="false">'United Games Against'!AK10</f>
        <v>25</v>
      </c>
      <c r="K60" s="25" t="n">
        <f aca="false">'United Games Against'!AJ10</f>
        <v>118</v>
      </c>
      <c r="L60" s="25" t="n">
        <f aca="false">'United Games Against'!AF10</f>
        <v>66</v>
      </c>
      <c r="M60" s="25" t="n">
        <f aca="false">'United Games Against'!AY10</f>
        <v>22</v>
      </c>
      <c r="N60" s="25" t="n">
        <f aca="false">'United Games Against'!AU10</f>
        <v>15</v>
      </c>
      <c r="O60" s="25" t="n">
        <f aca="false">'United Games Against'!T10</f>
        <v>1650</v>
      </c>
    </row>
    <row r="61" customFormat="false" ht="15" hidden="false" customHeight="false" outlineLevel="0" collapsed="false">
      <c r="A61" s="26" t="n">
        <f aca="false">'United Games For'!B10</f>
        <v>6</v>
      </c>
      <c r="B61" s="11" t="s">
        <v>187</v>
      </c>
      <c r="C61" s="27" t="n">
        <f aca="false">C59-C60</f>
        <v>-2</v>
      </c>
      <c r="D61" s="27" t="n">
        <f aca="false">D59-D60</f>
        <v>3</v>
      </c>
      <c r="E61" s="27" t="n">
        <f aca="false">E59-E60</f>
        <v>-9</v>
      </c>
      <c r="F61" s="27" t="n">
        <f aca="false">F59-F60</f>
        <v>0</v>
      </c>
      <c r="G61" s="27" t="n">
        <f aca="false">G59-G60</f>
        <v>3</v>
      </c>
      <c r="H61" s="27" t="n">
        <f aca="false">H59-H60</f>
        <v>24</v>
      </c>
      <c r="I61" s="27" t="n">
        <f aca="false">I59-I60</f>
        <v>-17</v>
      </c>
      <c r="J61" s="27" t="n">
        <f aca="false">J59-J60</f>
        <v>-7</v>
      </c>
      <c r="K61" s="27" t="n">
        <f aca="false">K59-K60</f>
        <v>-30</v>
      </c>
      <c r="L61" s="27" t="n">
        <f aca="false">L59-L60</f>
        <v>-2</v>
      </c>
      <c r="M61" s="27" t="n">
        <f aca="false">M59-M60</f>
        <v>-2</v>
      </c>
      <c r="N61" s="27" t="n">
        <f aca="false">N59-N60</f>
        <v>-7</v>
      </c>
      <c r="O61" s="27" t="n">
        <f aca="false">O59-O60</f>
        <v>-65</v>
      </c>
    </row>
    <row r="62" customFormat="false" ht="15" hidden="false" customHeight="false" outlineLevel="0" collapsed="false">
      <c r="A62" s="20" t="n">
        <f aca="false">'United Games For'!B21</f>
        <v>17</v>
      </c>
      <c r="B62" s="21" t="s">
        <v>185</v>
      </c>
      <c r="C62" s="22" t="n">
        <f aca="false">'United Games For'!E21</f>
        <v>301</v>
      </c>
      <c r="D62" s="22" t="n">
        <f aca="false">'United Games For'!H21</f>
        <v>109</v>
      </c>
      <c r="E62" s="22" t="n">
        <f aca="false">'United Games For'!W21</f>
        <v>37</v>
      </c>
      <c r="F62" s="22" t="n">
        <f aca="false">'United Games For'!AA21</f>
        <v>38</v>
      </c>
      <c r="G62" s="22" t="n">
        <f aca="false">'United Games For'!S21</f>
        <v>10</v>
      </c>
      <c r="H62" s="22" t="n">
        <f aca="false">'United Games For'!O21</f>
        <v>80</v>
      </c>
      <c r="I62" s="22" t="n">
        <f aca="false">'United Games For'!AP21</f>
        <v>58</v>
      </c>
      <c r="J62" s="22" t="n">
        <f aca="false">'United Games For'!AK21</f>
        <v>41</v>
      </c>
      <c r="K62" s="22" t="n">
        <f aca="false">'United Games For'!AJ21</f>
        <v>114</v>
      </c>
      <c r="L62" s="22" t="n">
        <f aca="false">'United Games For'!AF21</f>
        <v>66</v>
      </c>
      <c r="M62" s="22" t="n">
        <f aca="false">'United Games For'!AY21</f>
        <v>21</v>
      </c>
      <c r="N62" s="22" t="n">
        <f aca="false">'United Games For'!AU21</f>
        <v>10</v>
      </c>
      <c r="O62" s="22" t="n">
        <f aca="false">'United Games For'!T21</f>
        <v>1417</v>
      </c>
    </row>
    <row r="63" customFormat="false" ht="15" hidden="false" customHeight="false" outlineLevel="0" collapsed="false">
      <c r="A63" s="23" t="n">
        <f aca="false">'United Games For'!B21</f>
        <v>17</v>
      </c>
      <c r="B63" s="24" t="s">
        <v>186</v>
      </c>
      <c r="C63" s="25" t="n">
        <f aca="false">'United Games Against'!E21</f>
        <v>413</v>
      </c>
      <c r="D63" s="25" t="n">
        <f aca="false">'United Games Against'!H21</f>
        <v>145</v>
      </c>
      <c r="E63" s="25" t="n">
        <f aca="false">'United Games Against'!W21</f>
        <v>59</v>
      </c>
      <c r="F63" s="25" t="n">
        <f aca="false">'United Games Against'!AA21</f>
        <v>62</v>
      </c>
      <c r="G63" s="25" t="n">
        <f aca="false">'United Games Against'!S21</f>
        <v>26</v>
      </c>
      <c r="H63" s="25" t="n">
        <f aca="false">'United Games Against'!O21</f>
        <v>92</v>
      </c>
      <c r="I63" s="25" t="n">
        <f aca="false">'United Games Against'!AP21</f>
        <v>64</v>
      </c>
      <c r="J63" s="25" t="n">
        <f aca="false">'United Games Against'!AK21</f>
        <v>46</v>
      </c>
      <c r="K63" s="25" t="n">
        <f aca="false">'United Games Against'!AJ21</f>
        <v>122</v>
      </c>
      <c r="L63" s="25" t="n">
        <f aca="false">'United Games Against'!AF21</f>
        <v>75</v>
      </c>
      <c r="M63" s="25" t="n">
        <f aca="false">'United Games Against'!AY21</f>
        <v>36</v>
      </c>
      <c r="N63" s="25" t="n">
        <f aca="false">'United Games Against'!AU21</f>
        <v>27</v>
      </c>
      <c r="O63" s="25" t="n">
        <f aca="false">'United Games Against'!T21</f>
        <v>1936</v>
      </c>
    </row>
    <row r="64" customFormat="false" ht="15" hidden="false" customHeight="false" outlineLevel="0" collapsed="false">
      <c r="A64" s="26" t="n">
        <f aca="false">'United Games For'!B21</f>
        <v>17</v>
      </c>
      <c r="B64" s="11" t="s">
        <v>187</v>
      </c>
      <c r="C64" s="27" t="n">
        <f aca="false">C62-C63</f>
        <v>-112</v>
      </c>
      <c r="D64" s="27" t="n">
        <f aca="false">D62-D63</f>
        <v>-36</v>
      </c>
      <c r="E64" s="27" t="n">
        <f aca="false">E62-E63</f>
        <v>-22</v>
      </c>
      <c r="F64" s="27" t="n">
        <f aca="false">F62-F63</f>
        <v>-24</v>
      </c>
      <c r="G64" s="27" t="n">
        <f aca="false">G62-G63</f>
        <v>-16</v>
      </c>
      <c r="H64" s="27" t="n">
        <f aca="false">H62-H63</f>
        <v>-12</v>
      </c>
      <c r="I64" s="27" t="n">
        <f aca="false">I62-I63</f>
        <v>-6</v>
      </c>
      <c r="J64" s="27" t="n">
        <f aca="false">J62-J63</f>
        <v>-5</v>
      </c>
      <c r="K64" s="27" t="n">
        <f aca="false">K62-K63</f>
        <v>-8</v>
      </c>
      <c r="L64" s="27" t="n">
        <f aca="false">L62-L63</f>
        <v>-9</v>
      </c>
      <c r="M64" s="27" t="n">
        <f aca="false">M62-M63</f>
        <v>-15</v>
      </c>
      <c r="N64" s="27" t="n">
        <f aca="false">N62-N63</f>
        <v>-17</v>
      </c>
      <c r="O64" s="27" t="n">
        <f aca="false">O62-O63</f>
        <v>-519</v>
      </c>
    </row>
    <row r="65" customFormat="false" ht="15" hidden="false" customHeight="false" outlineLevel="0" collapsed="false">
      <c r="A65" s="10" t="s">
        <v>188</v>
      </c>
    </row>
  </sheetData>
  <autoFilter ref="A5:L54"/>
  <conditionalFormatting sqref="K6:K54">
    <cfRule type="colorScale" priority="2">
      <colorScale>
        <cfvo type="num" val="-2"/>
        <cfvo type="num" val="0"/>
        <cfvo type="num" val="2"/>
        <color rgb="FFCFE2F8"/>
        <color rgb="FFFFFFFF"/>
        <color rgb="FFF4B183"/>
      </colorScale>
    </cfRule>
  </conditionalFormatting>
  <conditionalFormatting sqref="L6:L54">
    <cfRule type="expression" priority="3" aboveAverage="0" equalAverage="0" bottom="0" percent="0" rank="0" text="" dxfId="41">
      <formula>LEFT(L6,8)="PRIORITY"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A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1" min="2" style="0" width="8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8" t="s">
        <v>190</v>
      </c>
    </row>
    <row r="4" customFormat="false" ht="30" hidden="false" customHeight="true" outlineLevel="0" collapsed="false">
      <c r="A4" s="2" t="s">
        <v>191</v>
      </c>
      <c r="B4" s="2" t="s">
        <v>192</v>
      </c>
      <c r="C4" s="2" t="s">
        <v>139</v>
      </c>
      <c r="D4" s="2" t="s">
        <v>55</v>
      </c>
      <c r="E4" s="2" t="s">
        <v>105</v>
      </c>
      <c r="F4" s="2" t="s">
        <v>85</v>
      </c>
      <c r="G4" s="2" t="s">
        <v>49</v>
      </c>
      <c r="H4" s="2" t="s">
        <v>119</v>
      </c>
      <c r="I4" s="2" t="s">
        <v>53</v>
      </c>
      <c r="J4" s="2" t="s">
        <v>97</v>
      </c>
      <c r="K4" s="2" t="s">
        <v>73</v>
      </c>
      <c r="L4" s="2" t="s">
        <v>33</v>
      </c>
      <c r="M4" s="2" t="s">
        <v>143</v>
      </c>
      <c r="N4" s="2" t="s">
        <v>103</v>
      </c>
      <c r="O4" s="2" t="s">
        <v>151</v>
      </c>
      <c r="P4" s="2" t="s">
        <v>91</v>
      </c>
      <c r="Q4" s="2" t="s">
        <v>93</v>
      </c>
      <c r="R4" s="2" t="s">
        <v>155</v>
      </c>
      <c r="S4" s="2" t="s">
        <v>87</v>
      </c>
      <c r="T4" s="2" t="s">
        <v>117</v>
      </c>
      <c r="U4" s="2" t="s">
        <v>95</v>
      </c>
      <c r="V4" s="2" t="s">
        <v>47</v>
      </c>
      <c r="W4" s="2" t="s">
        <v>161</v>
      </c>
      <c r="X4" s="2" t="s">
        <v>101</v>
      </c>
      <c r="Y4" s="2" t="s">
        <v>121</v>
      </c>
      <c r="Z4" s="2" t="s">
        <v>45</v>
      </c>
      <c r="AA4" s="2" t="s">
        <v>41</v>
      </c>
      <c r="AB4" s="2" t="s">
        <v>157</v>
      </c>
      <c r="AC4" s="2" t="s">
        <v>133</v>
      </c>
      <c r="AD4" s="2" t="s">
        <v>67</v>
      </c>
      <c r="AE4" s="2" t="s">
        <v>111</v>
      </c>
      <c r="AF4" s="2" t="s">
        <v>31</v>
      </c>
      <c r="AG4" s="2" t="s">
        <v>79</v>
      </c>
      <c r="AH4" s="2" t="s">
        <v>39</v>
      </c>
      <c r="AI4" s="2" t="s">
        <v>125</v>
      </c>
      <c r="AJ4" s="2" t="s">
        <v>71</v>
      </c>
      <c r="AK4" s="2" t="s">
        <v>127</v>
      </c>
      <c r="AL4" s="2" t="s">
        <v>51</v>
      </c>
      <c r="AM4" s="2" t="s">
        <v>147</v>
      </c>
      <c r="AN4" s="2" t="s">
        <v>149</v>
      </c>
      <c r="AO4" s="2" t="s">
        <v>69</v>
      </c>
      <c r="AP4" s="2" t="s">
        <v>123</v>
      </c>
      <c r="AQ4" s="2" t="s">
        <v>37</v>
      </c>
      <c r="AR4" s="2" t="s">
        <v>75</v>
      </c>
      <c r="AS4" s="2" t="s">
        <v>77</v>
      </c>
      <c r="AT4" s="2" t="s">
        <v>57</v>
      </c>
      <c r="AU4" s="2" t="s">
        <v>107</v>
      </c>
      <c r="AV4" s="2" t="s">
        <v>83</v>
      </c>
      <c r="AW4" s="2" t="s">
        <v>99</v>
      </c>
      <c r="AX4" s="2" t="s">
        <v>43</v>
      </c>
      <c r="AY4" s="2" t="s">
        <v>135</v>
      </c>
    </row>
    <row r="5" customFormat="false" ht="15" hidden="false" customHeight="false" outlineLevel="0" collapsed="false">
      <c r="A5" s="24" t="s">
        <v>186</v>
      </c>
      <c r="B5" s="28" t="n">
        <v>21</v>
      </c>
      <c r="C5" s="28" t="n">
        <v>1739.5</v>
      </c>
      <c r="D5" s="28" t="n">
        <v>372.4</v>
      </c>
      <c r="E5" s="28" t="n">
        <v>229.9</v>
      </c>
      <c r="F5" s="28" t="n">
        <v>142.5</v>
      </c>
      <c r="G5" s="28" t="n">
        <v>152.9</v>
      </c>
      <c r="H5" s="28" t="n">
        <v>99.3</v>
      </c>
      <c r="I5" s="28" t="n">
        <v>43.6</v>
      </c>
      <c r="J5" s="28" t="n">
        <v>55.6</v>
      </c>
      <c r="K5" s="28" t="n">
        <v>14.8</v>
      </c>
      <c r="L5" s="28" t="n">
        <v>11.7</v>
      </c>
      <c r="M5" s="28" t="n">
        <v>100.1</v>
      </c>
      <c r="N5" s="28" t="n">
        <v>74.2</v>
      </c>
      <c r="O5" s="28" t="n">
        <v>66</v>
      </c>
      <c r="P5" s="28" t="n">
        <v>42.3</v>
      </c>
      <c r="Q5" s="28" t="n">
        <v>9.2</v>
      </c>
      <c r="R5" s="28" t="n">
        <v>100.2</v>
      </c>
      <c r="S5" s="28" t="n">
        <v>34.1</v>
      </c>
      <c r="T5" s="28" t="n">
        <v>66</v>
      </c>
      <c r="U5" s="28" t="n">
        <v>8.3</v>
      </c>
      <c r="V5" s="28" t="n">
        <v>15.4</v>
      </c>
      <c r="W5" s="28" t="n">
        <v>84</v>
      </c>
      <c r="X5" s="28" t="n">
        <v>16</v>
      </c>
      <c r="Y5" s="28" t="n">
        <v>15.9</v>
      </c>
      <c r="Z5" s="28" t="n">
        <v>10.8</v>
      </c>
      <c r="AA5" s="28" t="n">
        <v>20.1</v>
      </c>
      <c r="AB5" s="28" t="n">
        <v>12.8</v>
      </c>
      <c r="AC5" s="28" t="n">
        <v>33.2</v>
      </c>
      <c r="AD5" s="28" t="n">
        <v>17.1</v>
      </c>
      <c r="AE5" s="28" t="n">
        <v>9</v>
      </c>
      <c r="AF5" s="28" t="n">
        <v>45.4</v>
      </c>
      <c r="AG5" s="28" t="n">
        <v>9.5</v>
      </c>
      <c r="AH5" s="28" t="n">
        <v>4.7</v>
      </c>
      <c r="AI5" s="28" t="n">
        <v>43.2</v>
      </c>
      <c r="AJ5" s="28" t="n">
        <v>27.4</v>
      </c>
      <c r="AK5" s="28" t="n">
        <v>129.4</v>
      </c>
      <c r="AL5" s="28" t="n">
        <v>10.8</v>
      </c>
      <c r="AM5" s="28" t="n">
        <v>6</v>
      </c>
      <c r="AN5" s="28" t="n">
        <v>19.4</v>
      </c>
      <c r="AO5" s="28" t="n">
        <v>11.5</v>
      </c>
      <c r="AP5" s="28" t="n">
        <v>42.9</v>
      </c>
      <c r="AQ5" s="28" t="n">
        <v>11.6</v>
      </c>
      <c r="AR5" s="28" t="n">
        <v>13.1</v>
      </c>
      <c r="AS5" s="28" t="n">
        <v>53</v>
      </c>
      <c r="AT5" s="28" t="n">
        <v>69</v>
      </c>
      <c r="AU5" s="28" t="n">
        <v>62</v>
      </c>
      <c r="AV5" s="28" t="n">
        <v>79</v>
      </c>
      <c r="AW5" s="28" t="n">
        <v>54</v>
      </c>
      <c r="AX5" s="28" t="n">
        <v>64</v>
      </c>
      <c r="AY5" s="28" t="n">
        <v>63</v>
      </c>
    </row>
    <row r="6" customFormat="false" ht="15" hidden="false" customHeight="false" outlineLevel="0" collapsed="false">
      <c r="A6" s="12" t="s">
        <v>193</v>
      </c>
      <c r="B6" s="29" t="n">
        <v>21</v>
      </c>
      <c r="C6" s="29" t="n">
        <v>1732.4</v>
      </c>
      <c r="D6" s="29" t="n">
        <v>373.2</v>
      </c>
      <c r="E6" s="29" t="n">
        <v>231.1</v>
      </c>
      <c r="F6" s="29" t="n">
        <v>142.1</v>
      </c>
      <c r="G6" s="29" t="n">
        <v>149.5</v>
      </c>
      <c r="H6" s="29" t="n">
        <v>102.5</v>
      </c>
      <c r="I6" s="29" t="n">
        <v>47.2</v>
      </c>
      <c r="J6" s="29" t="n">
        <v>52.6</v>
      </c>
      <c r="K6" s="29" t="n">
        <v>13.2</v>
      </c>
      <c r="L6" s="29" t="n">
        <v>10.5</v>
      </c>
      <c r="M6" s="29" t="n">
        <v>93.2</v>
      </c>
      <c r="N6" s="29" t="n">
        <v>72.4</v>
      </c>
      <c r="O6" s="29" t="n">
        <v>61.7</v>
      </c>
      <c r="P6" s="29" t="n">
        <v>52.8</v>
      </c>
      <c r="Q6" s="29" t="n">
        <v>11.8</v>
      </c>
      <c r="R6" s="29" t="n">
        <v>93.9</v>
      </c>
      <c r="S6" s="29" t="n">
        <v>34.1</v>
      </c>
      <c r="T6" s="29" t="n">
        <v>59.8</v>
      </c>
      <c r="U6" s="29" t="n">
        <v>9</v>
      </c>
      <c r="V6" s="29" t="n">
        <v>16.2</v>
      </c>
      <c r="W6" s="29" t="n">
        <v>86.3</v>
      </c>
      <c r="X6" s="29" t="n">
        <v>17.1</v>
      </c>
      <c r="Y6" s="29" t="n">
        <v>13.1</v>
      </c>
      <c r="Z6" s="29" t="n">
        <v>12</v>
      </c>
      <c r="AA6" s="29" t="n">
        <v>21.7</v>
      </c>
      <c r="AB6" s="29" t="n">
        <v>13.4</v>
      </c>
      <c r="AC6" s="29" t="n">
        <v>34.9</v>
      </c>
      <c r="AD6" s="29" t="n">
        <v>15.8</v>
      </c>
      <c r="AE6" s="29" t="n">
        <v>9.4</v>
      </c>
      <c r="AF6" s="29" t="n">
        <v>42.9</v>
      </c>
      <c r="AG6" s="29" t="n">
        <v>8.4</v>
      </c>
      <c r="AH6" s="29" t="n">
        <v>4.2</v>
      </c>
      <c r="AI6" s="29" t="n">
        <v>42.7</v>
      </c>
      <c r="AJ6" s="29" t="n">
        <v>26.5</v>
      </c>
      <c r="AK6" s="29" t="n">
        <v>122.1</v>
      </c>
      <c r="AL6" s="29" t="n">
        <v>12.7</v>
      </c>
      <c r="AM6" s="29" t="n">
        <v>4.3</v>
      </c>
      <c r="AN6" s="29" t="n">
        <v>16.1</v>
      </c>
      <c r="AO6" s="29" t="n">
        <v>14.1</v>
      </c>
      <c r="AP6" s="29" t="n">
        <v>38.2</v>
      </c>
      <c r="AQ6" s="29" t="n">
        <v>9.4</v>
      </c>
      <c r="AR6" s="29" t="n">
        <v>11.3</v>
      </c>
      <c r="AS6" s="29" t="n">
        <v>51</v>
      </c>
      <c r="AT6" s="29" t="n">
        <v>68</v>
      </c>
      <c r="AU6" s="29" t="n">
        <v>61</v>
      </c>
      <c r="AV6" s="29" t="n">
        <v>79</v>
      </c>
      <c r="AW6" s="29" t="n">
        <v>51</v>
      </c>
      <c r="AX6" s="29" t="n">
        <v>61</v>
      </c>
      <c r="AY6" s="29" t="n">
        <v>63</v>
      </c>
    </row>
    <row r="7" customFormat="false" ht="15" hidden="false" customHeight="false" outlineLevel="0" collapsed="false">
      <c r="A7" s="12" t="s">
        <v>194</v>
      </c>
      <c r="B7" s="29" t="n">
        <v>22</v>
      </c>
      <c r="C7" s="29" t="n">
        <v>1713.4</v>
      </c>
      <c r="D7" s="29" t="n">
        <v>356.2</v>
      </c>
      <c r="E7" s="29" t="n">
        <v>221</v>
      </c>
      <c r="F7" s="29" t="n">
        <v>135.2</v>
      </c>
      <c r="G7" s="29" t="n">
        <v>143.5</v>
      </c>
      <c r="H7" s="29" t="n">
        <v>95.1</v>
      </c>
      <c r="I7" s="29" t="n">
        <v>45.5</v>
      </c>
      <c r="J7" s="29" t="n">
        <v>54.7</v>
      </c>
      <c r="K7" s="29" t="n">
        <v>13.6</v>
      </c>
      <c r="L7" s="29" t="n">
        <v>9.9</v>
      </c>
      <c r="M7" s="29" t="n">
        <v>90</v>
      </c>
      <c r="N7" s="29" t="n">
        <v>77.1</v>
      </c>
      <c r="O7" s="29" t="n">
        <v>66.9</v>
      </c>
      <c r="P7" s="29" t="n">
        <v>65.2</v>
      </c>
      <c r="Q7" s="29" t="n">
        <v>16.9</v>
      </c>
      <c r="R7" s="29" t="n">
        <v>90.6</v>
      </c>
      <c r="S7" s="29" t="n">
        <v>32.4</v>
      </c>
      <c r="T7" s="29" t="n">
        <v>58.2</v>
      </c>
      <c r="U7" s="29" t="n">
        <v>7.9</v>
      </c>
      <c r="V7" s="29" t="n">
        <v>14</v>
      </c>
      <c r="W7" s="29" t="n">
        <v>81</v>
      </c>
      <c r="X7" s="29" t="n">
        <v>16.5</v>
      </c>
      <c r="Y7" s="29" t="n">
        <v>13.7</v>
      </c>
      <c r="Z7" s="29" t="n">
        <v>11</v>
      </c>
      <c r="AA7" s="29" t="n">
        <v>21.3</v>
      </c>
      <c r="AB7" s="29" t="n">
        <v>13.2</v>
      </c>
      <c r="AC7" s="29" t="n">
        <v>32.7</v>
      </c>
      <c r="AD7" s="29" t="n">
        <v>18.7</v>
      </c>
      <c r="AE7" s="29" t="n">
        <v>8.4</v>
      </c>
      <c r="AF7" s="29" t="n">
        <v>48.9</v>
      </c>
      <c r="AG7" s="29" t="n">
        <v>8.8</v>
      </c>
      <c r="AH7" s="29" t="n">
        <v>4.6</v>
      </c>
      <c r="AI7" s="29" t="n">
        <v>43.1</v>
      </c>
      <c r="AJ7" s="29" t="n">
        <v>29</v>
      </c>
      <c r="AK7" s="29" t="n">
        <v>133.2</v>
      </c>
      <c r="AL7" s="29" t="n">
        <v>11.4</v>
      </c>
      <c r="AM7" s="29" t="n">
        <v>5.2</v>
      </c>
      <c r="AN7" s="29" t="n">
        <v>22</v>
      </c>
      <c r="AO7" s="29" t="n">
        <v>13.9</v>
      </c>
      <c r="AP7" s="29" t="n">
        <v>41.7</v>
      </c>
      <c r="AQ7" s="29" t="n">
        <v>11.3</v>
      </c>
      <c r="AR7" s="29" t="n">
        <v>11.8</v>
      </c>
      <c r="AS7" s="29" t="n">
        <v>52</v>
      </c>
      <c r="AT7" s="29" t="n">
        <v>66</v>
      </c>
      <c r="AU7" s="29" t="n">
        <v>60</v>
      </c>
      <c r="AV7" s="29" t="n">
        <v>76</v>
      </c>
      <c r="AW7" s="29" t="n">
        <v>48</v>
      </c>
      <c r="AX7" s="29" t="n">
        <v>61</v>
      </c>
      <c r="AY7" s="29" t="n">
        <v>60</v>
      </c>
    </row>
    <row r="8" customFormat="false" ht="15" hidden="false" customHeight="false" outlineLevel="0" collapsed="false">
      <c r="A8" s="21" t="s">
        <v>195</v>
      </c>
      <c r="B8" s="30" t="n">
        <v>18</v>
      </c>
      <c r="C8" s="30" t="n">
        <v>1617.7</v>
      </c>
      <c r="D8" s="30" t="n">
        <v>349.7</v>
      </c>
      <c r="E8" s="30" t="n">
        <v>224.3</v>
      </c>
      <c r="F8" s="30" t="n">
        <v>125.4</v>
      </c>
      <c r="G8" s="30" t="n">
        <v>128.9</v>
      </c>
      <c r="H8" s="30" t="n">
        <v>110.4</v>
      </c>
      <c r="I8" s="30" t="n">
        <v>41.8</v>
      </c>
      <c r="J8" s="30" t="n">
        <v>48.3</v>
      </c>
      <c r="K8" s="30" t="n">
        <v>11.6</v>
      </c>
      <c r="L8" s="30" t="n">
        <v>9.1</v>
      </c>
      <c r="M8" s="30" t="n">
        <v>84.4</v>
      </c>
      <c r="N8" s="30" t="n">
        <v>68.3</v>
      </c>
      <c r="O8" s="30" t="n">
        <v>55.2</v>
      </c>
      <c r="P8" s="30" t="n">
        <v>56.2</v>
      </c>
      <c r="Q8" s="30" t="n">
        <v>11.8</v>
      </c>
      <c r="R8" s="30" t="n">
        <v>77.9</v>
      </c>
      <c r="S8" s="30" t="n">
        <v>28.4</v>
      </c>
      <c r="T8" s="30" t="n">
        <v>49.6</v>
      </c>
      <c r="U8" s="30" t="n">
        <v>7.4</v>
      </c>
      <c r="V8" s="30" t="n">
        <v>14.3</v>
      </c>
      <c r="W8" s="30" t="n">
        <v>96.1</v>
      </c>
      <c r="X8" s="30" t="n">
        <v>16.8</v>
      </c>
      <c r="Y8" s="30" t="n">
        <v>15.1</v>
      </c>
      <c r="Z8" s="30" t="n">
        <v>10</v>
      </c>
      <c r="AA8" s="30" t="n">
        <v>20.1</v>
      </c>
      <c r="AB8" s="30" t="n">
        <v>11.7</v>
      </c>
      <c r="AC8" s="30" t="n">
        <v>30.8</v>
      </c>
      <c r="AD8" s="30" t="n">
        <v>18.2</v>
      </c>
      <c r="AE8" s="30" t="n">
        <v>9.2</v>
      </c>
      <c r="AF8" s="30" t="n">
        <v>36.3</v>
      </c>
      <c r="AG8" s="30" t="n">
        <v>7.1</v>
      </c>
      <c r="AH8" s="30" t="n">
        <v>5</v>
      </c>
      <c r="AI8" s="30" t="n">
        <v>39</v>
      </c>
      <c r="AJ8" s="30" t="n">
        <v>24.6</v>
      </c>
      <c r="AK8" s="30" t="n">
        <v>105.2</v>
      </c>
      <c r="AL8" s="30" t="n">
        <v>12.7</v>
      </c>
      <c r="AM8" s="30" t="n">
        <v>3.2</v>
      </c>
      <c r="AN8" s="30" t="n">
        <v>13.7</v>
      </c>
      <c r="AO8" s="30" t="n">
        <v>10.2</v>
      </c>
      <c r="AP8" s="30" t="n">
        <v>34.3</v>
      </c>
      <c r="AQ8" s="30" t="n">
        <v>10.6</v>
      </c>
      <c r="AR8" s="30" t="n">
        <v>9.7</v>
      </c>
      <c r="AS8" s="30" t="n">
        <v>50</v>
      </c>
      <c r="AT8" s="30" t="n">
        <v>69</v>
      </c>
      <c r="AU8" s="30" t="n">
        <v>64</v>
      </c>
      <c r="AV8" s="30" t="n">
        <v>77</v>
      </c>
      <c r="AW8" s="30" t="n">
        <v>51</v>
      </c>
      <c r="AX8" s="30" t="n">
        <v>61</v>
      </c>
      <c r="AY8" s="30" t="n">
        <v>64</v>
      </c>
    </row>
    <row r="9" customFormat="false" ht="15" hidden="false" customHeight="false" outlineLevel="0" collapsed="false">
      <c r="A9" s="12" t="s">
        <v>196</v>
      </c>
      <c r="B9" s="29" t="n">
        <v>18</v>
      </c>
      <c r="C9" s="29" t="n">
        <v>1567.3</v>
      </c>
      <c r="D9" s="29" t="n">
        <v>323.4</v>
      </c>
      <c r="E9" s="29" t="n">
        <v>208.4</v>
      </c>
      <c r="F9" s="29" t="n">
        <v>114.9</v>
      </c>
      <c r="G9" s="29" t="n">
        <v>138.2</v>
      </c>
      <c r="H9" s="29" t="n">
        <v>95.3</v>
      </c>
      <c r="I9" s="29" t="n">
        <v>43.3</v>
      </c>
      <c r="J9" s="29" t="n">
        <v>48.6</v>
      </c>
      <c r="K9" s="29" t="n">
        <v>11.8</v>
      </c>
      <c r="L9" s="29" t="n">
        <v>9.4</v>
      </c>
      <c r="M9" s="29" t="n">
        <v>85.4</v>
      </c>
      <c r="N9" s="29" t="n">
        <v>69.9</v>
      </c>
      <c r="O9" s="29" t="n">
        <v>60.2</v>
      </c>
      <c r="P9" s="29" t="n">
        <v>54</v>
      </c>
      <c r="Q9" s="29" t="n">
        <v>11</v>
      </c>
      <c r="R9" s="29" t="n">
        <v>83.9</v>
      </c>
      <c r="S9" s="29" t="n">
        <v>32.5</v>
      </c>
      <c r="T9" s="29" t="n">
        <v>51.4</v>
      </c>
      <c r="U9" s="29" t="n">
        <v>8.9</v>
      </c>
      <c r="V9" s="29" t="n">
        <v>15</v>
      </c>
      <c r="W9" s="29" t="n">
        <v>80.3</v>
      </c>
      <c r="X9" s="29" t="n">
        <v>15.8</v>
      </c>
      <c r="Y9" s="29" t="n">
        <v>13.8</v>
      </c>
      <c r="Z9" s="29" t="n">
        <v>10.8</v>
      </c>
      <c r="AA9" s="29" t="n">
        <v>19.9</v>
      </c>
      <c r="AB9" s="29" t="n">
        <v>12.6</v>
      </c>
      <c r="AC9" s="29" t="n">
        <v>33.3</v>
      </c>
      <c r="AD9" s="29" t="n">
        <v>19.6</v>
      </c>
      <c r="AE9" s="29" t="n">
        <v>9.4</v>
      </c>
      <c r="AF9" s="29" t="n">
        <v>43.2</v>
      </c>
      <c r="AG9" s="29" t="n">
        <v>7.4</v>
      </c>
      <c r="AH9" s="29" t="n">
        <v>6.1</v>
      </c>
      <c r="AI9" s="29" t="n">
        <v>41.9</v>
      </c>
      <c r="AJ9" s="29" t="n">
        <v>23.9</v>
      </c>
      <c r="AK9" s="29" t="n">
        <v>127.2</v>
      </c>
      <c r="AL9" s="29" t="n">
        <v>13.1</v>
      </c>
      <c r="AM9" s="29" t="n">
        <v>4.4</v>
      </c>
      <c r="AN9" s="29" t="n">
        <v>17.1</v>
      </c>
      <c r="AO9" s="29" t="n">
        <v>11.5</v>
      </c>
      <c r="AP9" s="29" t="n">
        <v>36.9</v>
      </c>
      <c r="AQ9" s="29" t="n">
        <v>11.8</v>
      </c>
      <c r="AR9" s="29" t="n">
        <v>9.9</v>
      </c>
      <c r="AS9" s="29" t="n">
        <v>48</v>
      </c>
      <c r="AT9" s="29" t="n">
        <v>67</v>
      </c>
      <c r="AU9" s="29" t="n">
        <v>61</v>
      </c>
      <c r="AV9" s="29" t="n">
        <v>78</v>
      </c>
      <c r="AW9" s="29" t="n">
        <v>50</v>
      </c>
      <c r="AX9" s="29" t="n">
        <v>59</v>
      </c>
      <c r="AY9" s="29" t="n">
        <v>60</v>
      </c>
    </row>
    <row r="10" customFormat="false" ht="15" hidden="false" customHeight="false" outlineLevel="0" collapsed="false">
      <c r="A10" s="12" t="s">
        <v>197</v>
      </c>
      <c r="B10" s="29" t="n">
        <v>18</v>
      </c>
      <c r="C10" s="29" t="n">
        <v>1565.3</v>
      </c>
      <c r="D10" s="29" t="n">
        <v>339.1</v>
      </c>
      <c r="E10" s="29" t="n">
        <v>204.2</v>
      </c>
      <c r="F10" s="29" t="n">
        <v>134.9</v>
      </c>
      <c r="G10" s="29" t="n">
        <v>143.7</v>
      </c>
      <c r="H10" s="29" t="n">
        <v>83.4</v>
      </c>
      <c r="I10" s="29" t="n">
        <v>44.2</v>
      </c>
      <c r="J10" s="29" t="n">
        <v>54</v>
      </c>
      <c r="K10" s="29" t="n">
        <v>11.4</v>
      </c>
      <c r="L10" s="29" t="n">
        <v>9.7</v>
      </c>
      <c r="M10" s="29" t="n">
        <v>77.2</v>
      </c>
      <c r="N10" s="29" t="n">
        <v>74</v>
      </c>
      <c r="O10" s="29" t="n">
        <v>65.8</v>
      </c>
      <c r="P10" s="29" t="n">
        <v>41.4</v>
      </c>
      <c r="Q10" s="29" t="n">
        <v>8.8</v>
      </c>
      <c r="R10" s="29" t="n">
        <v>96.3</v>
      </c>
      <c r="S10" s="29" t="n">
        <v>37.6</v>
      </c>
      <c r="T10" s="29" t="n">
        <v>58.8</v>
      </c>
      <c r="U10" s="29" t="n">
        <v>10.3</v>
      </c>
      <c r="V10" s="29" t="n">
        <v>13</v>
      </c>
      <c r="W10" s="29" t="n">
        <v>70.4</v>
      </c>
      <c r="X10" s="29" t="n">
        <v>15.6</v>
      </c>
      <c r="Y10" s="29" t="n">
        <v>11.6</v>
      </c>
      <c r="Z10" s="29" t="n">
        <v>10.9</v>
      </c>
      <c r="AA10" s="29" t="n">
        <v>21.2</v>
      </c>
      <c r="AB10" s="29" t="n">
        <v>12.1</v>
      </c>
      <c r="AC10" s="29" t="n">
        <v>34.7</v>
      </c>
      <c r="AD10" s="29" t="n">
        <v>17.2</v>
      </c>
      <c r="AE10" s="29" t="n">
        <v>11.3</v>
      </c>
      <c r="AF10" s="29" t="n">
        <v>44.2</v>
      </c>
      <c r="AG10" s="29" t="n">
        <v>6.7</v>
      </c>
      <c r="AH10" s="29" t="n">
        <v>5.1</v>
      </c>
      <c r="AI10" s="29" t="n">
        <v>45.4</v>
      </c>
      <c r="AJ10" s="29" t="n">
        <v>30.7</v>
      </c>
      <c r="AK10" s="29" t="n">
        <v>128.3</v>
      </c>
      <c r="AL10" s="29" t="n">
        <v>10.9</v>
      </c>
      <c r="AM10" s="29" t="n">
        <v>3.8</v>
      </c>
      <c r="AN10" s="29" t="n">
        <v>21.1</v>
      </c>
      <c r="AO10" s="29" t="n">
        <v>12.6</v>
      </c>
      <c r="AP10" s="29" t="n">
        <v>39.2</v>
      </c>
      <c r="AQ10" s="29" t="n">
        <v>14.1</v>
      </c>
      <c r="AR10" s="29" t="n">
        <v>9.6</v>
      </c>
      <c r="AS10" s="29" t="n">
        <v>49</v>
      </c>
      <c r="AT10" s="29" t="n">
        <v>66</v>
      </c>
      <c r="AU10" s="29" t="n">
        <v>59</v>
      </c>
      <c r="AV10" s="29" t="n">
        <v>77</v>
      </c>
      <c r="AW10" s="29" t="n">
        <v>49</v>
      </c>
      <c r="AX10" s="29" t="n">
        <v>65</v>
      </c>
      <c r="AY10" s="29" t="n">
        <v>62</v>
      </c>
    </row>
    <row r="11" customFormat="false" ht="15" hidden="false" customHeight="false" outlineLevel="0" collapsed="false">
      <c r="A11" s="12" t="s">
        <v>198</v>
      </c>
      <c r="B11" s="29" t="n">
        <v>20</v>
      </c>
      <c r="C11" s="29" t="n">
        <v>1552</v>
      </c>
      <c r="D11" s="29" t="n">
        <v>338.6</v>
      </c>
      <c r="E11" s="29" t="n">
        <v>199.1</v>
      </c>
      <c r="F11" s="29" t="n">
        <v>139.6</v>
      </c>
      <c r="G11" s="29" t="n">
        <v>135.2</v>
      </c>
      <c r="H11" s="29" t="n">
        <v>81.3</v>
      </c>
      <c r="I11" s="29" t="n">
        <v>44.5</v>
      </c>
      <c r="J11" s="29" t="n">
        <v>44.4</v>
      </c>
      <c r="K11" s="29" t="n">
        <v>10.6</v>
      </c>
      <c r="L11" s="29" t="n">
        <v>8.8</v>
      </c>
      <c r="M11" s="29" t="n">
        <v>71.3</v>
      </c>
      <c r="N11" s="29" t="n">
        <v>68</v>
      </c>
      <c r="O11" s="29" t="n">
        <v>65.2</v>
      </c>
      <c r="P11" s="29" t="n">
        <v>52.6</v>
      </c>
      <c r="Q11" s="29" t="n">
        <v>11.2</v>
      </c>
      <c r="R11" s="29" t="n">
        <v>81</v>
      </c>
      <c r="S11" s="29" t="n">
        <v>29.1</v>
      </c>
      <c r="T11" s="29" t="n">
        <v>51.9</v>
      </c>
      <c r="U11" s="29" t="n">
        <v>10.1</v>
      </c>
      <c r="V11" s="29" t="n">
        <v>12.4</v>
      </c>
      <c r="W11" s="29" t="n">
        <v>68.8</v>
      </c>
      <c r="X11" s="29" t="n">
        <v>14.1</v>
      </c>
      <c r="Y11" s="29" t="n">
        <v>10.3</v>
      </c>
      <c r="Z11" s="29" t="n">
        <v>8.5</v>
      </c>
      <c r="AA11" s="29" t="n">
        <v>22.3</v>
      </c>
      <c r="AB11" s="29" t="n">
        <v>13.7</v>
      </c>
      <c r="AC11" s="29" t="n">
        <v>38</v>
      </c>
      <c r="AD11" s="29" t="n">
        <v>19.7</v>
      </c>
      <c r="AE11" s="29" t="n">
        <v>11.3</v>
      </c>
      <c r="AF11" s="29" t="n">
        <v>41.6</v>
      </c>
      <c r="AG11" s="29" t="n">
        <v>6.2</v>
      </c>
      <c r="AH11" s="29" t="n">
        <v>5.2</v>
      </c>
      <c r="AI11" s="29" t="n">
        <v>43.7</v>
      </c>
      <c r="AJ11" s="29" t="n">
        <v>21.4</v>
      </c>
      <c r="AK11" s="29" t="n">
        <v>129.8</v>
      </c>
      <c r="AL11" s="29" t="n">
        <v>13.6</v>
      </c>
      <c r="AM11" s="29" t="n">
        <v>4.3</v>
      </c>
      <c r="AN11" s="29" t="n">
        <v>17.1</v>
      </c>
      <c r="AO11" s="29" t="n">
        <v>10.6</v>
      </c>
      <c r="AP11" s="29" t="n">
        <v>39.8</v>
      </c>
      <c r="AQ11" s="29" t="n">
        <v>14.8</v>
      </c>
      <c r="AR11" s="29" t="n">
        <v>8.3</v>
      </c>
      <c r="AS11" s="29" t="n">
        <v>50</v>
      </c>
      <c r="AT11" s="29" t="n">
        <v>67</v>
      </c>
      <c r="AU11" s="29" t="n">
        <v>59</v>
      </c>
      <c r="AV11" s="29" t="n">
        <v>79</v>
      </c>
      <c r="AW11" s="29" t="n">
        <v>51</v>
      </c>
      <c r="AX11" s="29" t="n">
        <v>64</v>
      </c>
      <c r="AY11" s="29" t="n">
        <v>59</v>
      </c>
    </row>
    <row r="12" customFormat="false" ht="15" hidden="false" customHeight="false" outlineLevel="0" collapsed="false">
      <c r="A12" s="12" t="s">
        <v>199</v>
      </c>
      <c r="B12" s="29" t="n">
        <v>18</v>
      </c>
      <c r="C12" s="29" t="n">
        <v>1533.1</v>
      </c>
      <c r="D12" s="29" t="n">
        <v>323.2</v>
      </c>
      <c r="E12" s="29" t="n">
        <v>193.6</v>
      </c>
      <c r="F12" s="29" t="n">
        <v>129.6</v>
      </c>
      <c r="G12" s="29" t="n">
        <v>139.9</v>
      </c>
      <c r="H12" s="29" t="n">
        <v>74.1</v>
      </c>
      <c r="I12" s="29" t="n">
        <v>43.7</v>
      </c>
      <c r="J12" s="29" t="n">
        <v>51.2</v>
      </c>
      <c r="K12" s="29" t="n">
        <v>12.5</v>
      </c>
      <c r="L12" s="29" t="n">
        <v>10.4</v>
      </c>
      <c r="M12" s="29" t="n">
        <v>80.9</v>
      </c>
      <c r="N12" s="29" t="n">
        <v>72.5</v>
      </c>
      <c r="O12" s="29" t="n">
        <v>70.8</v>
      </c>
      <c r="P12" s="29" t="n">
        <v>43</v>
      </c>
      <c r="Q12" s="29" t="n">
        <v>10.8</v>
      </c>
      <c r="R12" s="29" t="n">
        <v>91.6</v>
      </c>
      <c r="S12" s="29" t="n">
        <v>27.7</v>
      </c>
      <c r="T12" s="29" t="n">
        <v>63.9</v>
      </c>
      <c r="U12" s="29" t="n">
        <v>8.3</v>
      </c>
      <c r="V12" s="29" t="n">
        <v>12.3</v>
      </c>
      <c r="W12" s="29" t="n">
        <v>61.7</v>
      </c>
      <c r="X12" s="29" t="n">
        <v>13.8</v>
      </c>
      <c r="Y12" s="29" t="n">
        <v>11.4</v>
      </c>
      <c r="Z12" s="29" t="n">
        <v>11.7</v>
      </c>
      <c r="AA12" s="29" t="n">
        <v>19.4</v>
      </c>
      <c r="AB12" s="29" t="n">
        <v>12.7</v>
      </c>
      <c r="AC12" s="29" t="n">
        <v>33.1</v>
      </c>
      <c r="AD12" s="29" t="n">
        <v>24.6</v>
      </c>
      <c r="AE12" s="29" t="n">
        <v>11.4</v>
      </c>
      <c r="AF12" s="29" t="n">
        <v>45.8</v>
      </c>
      <c r="AG12" s="29" t="n">
        <v>7.2</v>
      </c>
      <c r="AH12" s="29" t="n">
        <v>6.2</v>
      </c>
      <c r="AI12" s="29" t="n">
        <v>42.6</v>
      </c>
      <c r="AJ12" s="29" t="n">
        <v>27.5</v>
      </c>
      <c r="AK12" s="29" t="n">
        <v>135.1</v>
      </c>
      <c r="AL12" s="29" t="n">
        <v>9.5</v>
      </c>
      <c r="AM12" s="29" t="n">
        <v>5.9</v>
      </c>
      <c r="AN12" s="29" t="n">
        <v>17.8</v>
      </c>
      <c r="AO12" s="29" t="n">
        <v>13.4</v>
      </c>
      <c r="AP12" s="29" t="n">
        <v>42.2</v>
      </c>
      <c r="AQ12" s="29" t="n">
        <v>15.2</v>
      </c>
      <c r="AR12" s="29" t="n">
        <v>10.4</v>
      </c>
      <c r="AS12" s="29" t="n">
        <v>50</v>
      </c>
      <c r="AT12" s="29" t="n">
        <v>65</v>
      </c>
      <c r="AU12" s="29" t="n">
        <v>56</v>
      </c>
      <c r="AV12" s="29" t="n">
        <v>78</v>
      </c>
      <c r="AW12" s="29" t="n">
        <v>46</v>
      </c>
      <c r="AX12" s="29" t="n">
        <v>62</v>
      </c>
      <c r="AY12" s="29" t="n">
        <v>59</v>
      </c>
    </row>
    <row r="13" customFormat="false" ht="15" hidden="false" customHeight="false" outlineLevel="0" collapsed="false">
      <c r="A13" s="12" t="s">
        <v>200</v>
      </c>
      <c r="B13" s="29" t="n">
        <v>19</v>
      </c>
      <c r="C13" s="29" t="n">
        <v>1514.5</v>
      </c>
      <c r="D13" s="29" t="n">
        <v>324.7</v>
      </c>
      <c r="E13" s="29" t="n">
        <v>206.9</v>
      </c>
      <c r="F13" s="29" t="n">
        <v>117.8</v>
      </c>
      <c r="G13" s="29" t="n">
        <v>126.8</v>
      </c>
      <c r="H13" s="29" t="n">
        <v>88.5</v>
      </c>
      <c r="I13" s="29" t="n">
        <v>39.4</v>
      </c>
      <c r="J13" s="29" t="n">
        <v>46.3</v>
      </c>
      <c r="K13" s="29" t="n">
        <v>10.5</v>
      </c>
      <c r="L13" s="29" t="n">
        <v>9.1</v>
      </c>
      <c r="M13" s="29" t="n">
        <v>71.8</v>
      </c>
      <c r="N13" s="29" t="n">
        <v>70.4</v>
      </c>
      <c r="O13" s="29" t="n">
        <v>67.8</v>
      </c>
      <c r="P13" s="29" t="n">
        <v>34.9</v>
      </c>
      <c r="Q13" s="29" t="n">
        <v>6.4</v>
      </c>
      <c r="R13" s="29" t="n">
        <v>86.4</v>
      </c>
      <c r="S13" s="29" t="n">
        <v>29.8</v>
      </c>
      <c r="T13" s="29" t="n">
        <v>56.6</v>
      </c>
      <c r="U13" s="29" t="n">
        <v>9.4</v>
      </c>
      <c r="V13" s="29" t="n">
        <v>9.8</v>
      </c>
      <c r="W13" s="29" t="n">
        <v>78.6</v>
      </c>
      <c r="X13" s="29" t="n">
        <v>13.4</v>
      </c>
      <c r="Y13" s="29" t="n">
        <v>11.8</v>
      </c>
      <c r="Z13" s="29" t="n">
        <v>8.7</v>
      </c>
      <c r="AA13" s="29" t="n">
        <v>18.8</v>
      </c>
      <c r="AB13" s="29" t="n">
        <v>11.9</v>
      </c>
      <c r="AC13" s="29" t="n">
        <v>35.7</v>
      </c>
      <c r="AD13" s="29" t="n">
        <v>20.2</v>
      </c>
      <c r="AE13" s="29" t="n">
        <v>10.7</v>
      </c>
      <c r="AF13" s="29" t="n">
        <v>46</v>
      </c>
      <c r="AG13" s="29" t="n">
        <v>6.5</v>
      </c>
      <c r="AH13" s="29" t="n">
        <v>4.2</v>
      </c>
      <c r="AI13" s="29" t="n">
        <v>43.4</v>
      </c>
      <c r="AJ13" s="29" t="n">
        <v>23.4</v>
      </c>
      <c r="AK13" s="29" t="n">
        <v>135.4</v>
      </c>
      <c r="AL13" s="29" t="n">
        <v>14</v>
      </c>
      <c r="AM13" s="29" t="n">
        <v>3.8</v>
      </c>
      <c r="AN13" s="29" t="n">
        <v>16.4</v>
      </c>
      <c r="AO13" s="29" t="n">
        <v>11.7</v>
      </c>
      <c r="AP13" s="29" t="n">
        <v>43.1</v>
      </c>
      <c r="AQ13" s="29" t="n">
        <v>13.1</v>
      </c>
      <c r="AR13" s="29" t="n">
        <v>8.8</v>
      </c>
      <c r="AS13" s="29" t="n">
        <v>50</v>
      </c>
      <c r="AT13" s="29" t="n">
        <v>66</v>
      </c>
      <c r="AU13" s="29" t="n">
        <v>60</v>
      </c>
      <c r="AV13" s="29" t="n">
        <v>78</v>
      </c>
      <c r="AW13" s="29" t="n">
        <v>51</v>
      </c>
      <c r="AX13" s="29" t="n">
        <v>62</v>
      </c>
      <c r="AY13" s="29" t="n">
        <v>62</v>
      </c>
    </row>
    <row r="14" customFormat="false" ht="15" hidden="false" customHeight="false" outlineLevel="0" collapsed="false">
      <c r="A14" s="12" t="s">
        <v>201</v>
      </c>
      <c r="B14" s="29" t="n">
        <v>17</v>
      </c>
      <c r="C14" s="29" t="n">
        <v>1479.1</v>
      </c>
      <c r="D14" s="29" t="n">
        <v>330.8</v>
      </c>
      <c r="E14" s="29" t="n">
        <v>194.3</v>
      </c>
      <c r="F14" s="29" t="n">
        <v>136.5</v>
      </c>
      <c r="G14" s="29" t="n">
        <v>128.1</v>
      </c>
      <c r="H14" s="29" t="n">
        <v>86.4</v>
      </c>
      <c r="I14" s="29" t="n">
        <v>36.5</v>
      </c>
      <c r="J14" s="29" t="n">
        <v>37.4</v>
      </c>
      <c r="K14" s="29" t="n">
        <v>8.1</v>
      </c>
      <c r="L14" s="29" t="n">
        <v>6.4</v>
      </c>
      <c r="M14" s="29" t="n">
        <v>61.6</v>
      </c>
      <c r="N14" s="29" t="n">
        <v>65.3</v>
      </c>
      <c r="O14" s="29" t="n">
        <v>61.9</v>
      </c>
      <c r="P14" s="29" t="n">
        <v>33.4</v>
      </c>
      <c r="Q14" s="29" t="n">
        <v>9</v>
      </c>
      <c r="R14" s="29" t="n">
        <v>84.4</v>
      </c>
      <c r="S14" s="29" t="n">
        <v>30.6</v>
      </c>
      <c r="T14" s="29" t="n">
        <v>53.8</v>
      </c>
      <c r="U14" s="29" t="n">
        <v>10.1</v>
      </c>
      <c r="V14" s="29" t="n">
        <v>11.9</v>
      </c>
      <c r="W14" s="29" t="n">
        <v>74.5</v>
      </c>
      <c r="X14" s="29" t="n">
        <v>14.2</v>
      </c>
      <c r="Y14" s="29" t="n">
        <v>9.5</v>
      </c>
      <c r="Z14" s="29" t="n">
        <v>9.1</v>
      </c>
      <c r="AA14" s="29" t="n">
        <v>15.1</v>
      </c>
      <c r="AB14" s="29" t="n">
        <v>12.4</v>
      </c>
      <c r="AC14" s="29" t="n">
        <v>39.7</v>
      </c>
      <c r="AD14" s="29" t="n">
        <v>19.9</v>
      </c>
      <c r="AE14" s="29" t="n">
        <v>11.9</v>
      </c>
      <c r="AF14" s="29" t="n">
        <v>39.7</v>
      </c>
      <c r="AG14" s="29" t="n">
        <v>5.4</v>
      </c>
      <c r="AH14" s="29" t="n">
        <v>6.2</v>
      </c>
      <c r="AI14" s="29" t="n">
        <v>44.9</v>
      </c>
      <c r="AJ14" s="29" t="n">
        <v>20.5</v>
      </c>
      <c r="AK14" s="29" t="n">
        <v>122.1</v>
      </c>
      <c r="AL14" s="29" t="n">
        <v>12</v>
      </c>
      <c r="AM14" s="29" t="n">
        <v>3.9</v>
      </c>
      <c r="AN14" s="29" t="n">
        <v>15.7</v>
      </c>
      <c r="AO14" s="29" t="n">
        <v>9.6</v>
      </c>
      <c r="AP14" s="29" t="n">
        <v>34.8</v>
      </c>
      <c r="AQ14" s="29" t="n">
        <v>17.5</v>
      </c>
      <c r="AR14" s="29" t="n">
        <v>7.1</v>
      </c>
      <c r="AS14" s="29" t="n">
        <v>49</v>
      </c>
      <c r="AT14" s="29" t="n">
        <v>69</v>
      </c>
      <c r="AU14" s="29" t="n">
        <v>62</v>
      </c>
      <c r="AV14" s="29" t="n">
        <v>79</v>
      </c>
      <c r="AW14" s="29" t="n">
        <v>51</v>
      </c>
      <c r="AX14" s="29" t="n">
        <v>66</v>
      </c>
      <c r="AY14" s="29" t="n">
        <v>64</v>
      </c>
    </row>
    <row r="15" customFormat="false" ht="15" hidden="false" customHeight="false" outlineLevel="0" collapsed="false">
      <c r="A15" s="12" t="s">
        <v>202</v>
      </c>
      <c r="B15" s="29" t="n">
        <v>17</v>
      </c>
      <c r="C15" s="29" t="n">
        <v>1428.7</v>
      </c>
      <c r="D15" s="29" t="n">
        <v>318.1</v>
      </c>
      <c r="E15" s="29" t="n">
        <v>196.6</v>
      </c>
      <c r="F15" s="29" t="n">
        <v>121.5</v>
      </c>
      <c r="G15" s="29" t="n">
        <v>128.9</v>
      </c>
      <c r="H15" s="29" t="n">
        <v>85.9</v>
      </c>
      <c r="I15" s="29" t="n">
        <v>39.3</v>
      </c>
      <c r="J15" s="29" t="n">
        <v>39.9</v>
      </c>
      <c r="K15" s="29" t="n">
        <v>8.1</v>
      </c>
      <c r="L15" s="29" t="n">
        <v>6.5</v>
      </c>
      <c r="M15" s="29" t="n">
        <v>56.9</v>
      </c>
      <c r="N15" s="29" t="n">
        <v>66.3</v>
      </c>
      <c r="O15" s="29" t="n">
        <v>51.1</v>
      </c>
      <c r="P15" s="29" t="n">
        <v>56.6</v>
      </c>
      <c r="Q15" s="29" t="n">
        <v>13.6</v>
      </c>
      <c r="R15" s="29" t="n">
        <v>79.8</v>
      </c>
      <c r="S15" s="29" t="n">
        <v>28.3</v>
      </c>
      <c r="T15" s="29" t="n">
        <v>51.5</v>
      </c>
      <c r="U15" s="29" t="n">
        <v>7.4</v>
      </c>
      <c r="V15" s="29" t="n">
        <v>13.1</v>
      </c>
      <c r="W15" s="29" t="n">
        <v>72.8</v>
      </c>
      <c r="X15" s="29" t="n">
        <v>13.9</v>
      </c>
      <c r="Y15" s="29" t="n">
        <v>9.1</v>
      </c>
      <c r="Z15" s="29" t="n">
        <v>9.4</v>
      </c>
      <c r="AA15" s="29" t="n">
        <v>17.3</v>
      </c>
      <c r="AB15" s="29" t="n">
        <v>12.6</v>
      </c>
      <c r="AC15" s="29" t="n">
        <v>39.8</v>
      </c>
      <c r="AD15" s="29" t="n">
        <v>20.4</v>
      </c>
      <c r="AE15" s="29" t="n">
        <v>13.5</v>
      </c>
      <c r="AF15" s="29" t="n">
        <v>45.4</v>
      </c>
      <c r="AG15" s="29" t="n">
        <v>5.6</v>
      </c>
      <c r="AH15" s="29" t="n">
        <v>7.3</v>
      </c>
      <c r="AI15" s="29" t="n">
        <v>44.8</v>
      </c>
      <c r="AJ15" s="29" t="n">
        <v>23.1</v>
      </c>
      <c r="AK15" s="29" t="n">
        <v>111.6</v>
      </c>
      <c r="AL15" s="29" t="n">
        <v>12.2</v>
      </c>
      <c r="AM15" s="29" t="n">
        <v>3.7</v>
      </c>
      <c r="AN15" s="29" t="n">
        <v>20.2</v>
      </c>
      <c r="AO15" s="29" t="n">
        <v>7.3</v>
      </c>
      <c r="AP15" s="29" t="n">
        <v>33.1</v>
      </c>
      <c r="AQ15" s="29" t="n">
        <v>10.7</v>
      </c>
      <c r="AR15" s="29" t="n">
        <v>6.6</v>
      </c>
      <c r="AS15" s="29" t="n">
        <v>48</v>
      </c>
      <c r="AT15" s="29" t="n">
        <v>65</v>
      </c>
      <c r="AU15" s="29" t="n">
        <v>59</v>
      </c>
      <c r="AV15" s="29" t="n">
        <v>74</v>
      </c>
      <c r="AW15" s="29" t="n">
        <v>48</v>
      </c>
      <c r="AX15" s="29" t="n">
        <v>58</v>
      </c>
      <c r="AY15" s="29" t="n">
        <v>60</v>
      </c>
    </row>
    <row r="16" customFormat="false" ht="15" hidden="false" customHeight="false" outlineLevel="0" collapsed="false">
      <c r="A16" s="12" t="s">
        <v>203</v>
      </c>
      <c r="B16" s="29" t="n">
        <v>17</v>
      </c>
      <c r="C16" s="29" t="n">
        <v>1425.4</v>
      </c>
      <c r="D16" s="29" t="n">
        <v>323.2</v>
      </c>
      <c r="E16" s="29" t="n">
        <v>206.4</v>
      </c>
      <c r="F16" s="29" t="n">
        <v>116.9</v>
      </c>
      <c r="G16" s="29" t="n">
        <v>123.1</v>
      </c>
      <c r="H16" s="29" t="n">
        <v>99.6</v>
      </c>
      <c r="I16" s="29" t="n">
        <v>38.8</v>
      </c>
      <c r="J16" s="29" t="n">
        <v>31.1</v>
      </c>
      <c r="K16" s="29" t="n">
        <v>5.5</v>
      </c>
      <c r="L16" s="29" t="n">
        <v>4.3</v>
      </c>
      <c r="M16" s="29" t="n">
        <v>38.6</v>
      </c>
      <c r="N16" s="29" t="n">
        <v>63.4</v>
      </c>
      <c r="O16" s="29" t="n">
        <v>51.8</v>
      </c>
      <c r="P16" s="29" t="n">
        <v>50.6</v>
      </c>
      <c r="Q16" s="29" t="n">
        <v>13.5</v>
      </c>
      <c r="R16" s="29" t="n">
        <v>77</v>
      </c>
      <c r="S16" s="29" t="n">
        <v>25.2</v>
      </c>
      <c r="T16" s="29" t="n">
        <v>51.8</v>
      </c>
      <c r="U16" s="29" t="n">
        <v>6.9</v>
      </c>
      <c r="V16" s="29" t="n">
        <v>12</v>
      </c>
      <c r="W16" s="29" t="n">
        <v>87.6</v>
      </c>
      <c r="X16" s="29" t="n">
        <v>17.3</v>
      </c>
      <c r="Y16" s="29" t="n">
        <v>6.9</v>
      </c>
      <c r="Z16" s="29" t="n">
        <v>9.9</v>
      </c>
      <c r="AA16" s="29" t="n">
        <v>16.4</v>
      </c>
      <c r="AB16" s="29" t="n">
        <v>12.5</v>
      </c>
      <c r="AC16" s="29" t="n">
        <v>43</v>
      </c>
      <c r="AD16" s="29" t="n">
        <v>16.2</v>
      </c>
      <c r="AE16" s="29" t="n">
        <v>14.8</v>
      </c>
      <c r="AF16" s="29" t="n">
        <v>40.3</v>
      </c>
      <c r="AG16" s="29" t="n">
        <v>2.8</v>
      </c>
      <c r="AH16" s="29" t="n">
        <v>8.1</v>
      </c>
      <c r="AI16" s="29" t="n">
        <v>49.6</v>
      </c>
      <c r="AJ16" s="29" t="n">
        <v>17.8</v>
      </c>
      <c r="AK16" s="29" t="n">
        <v>111.2</v>
      </c>
      <c r="AL16" s="29" t="n">
        <v>15.1</v>
      </c>
      <c r="AM16" s="29" t="n">
        <v>3.2</v>
      </c>
      <c r="AN16" s="29" t="n">
        <v>15.7</v>
      </c>
      <c r="AO16" s="29" t="n">
        <v>6.4</v>
      </c>
      <c r="AP16" s="29" t="n">
        <v>32.1</v>
      </c>
      <c r="AQ16" s="29" t="n">
        <v>13.3</v>
      </c>
      <c r="AR16" s="29" t="n">
        <v>4.5</v>
      </c>
      <c r="AS16" s="29" t="n">
        <v>46</v>
      </c>
      <c r="AT16" s="29" t="n">
        <v>67</v>
      </c>
      <c r="AU16" s="29" t="n">
        <v>60</v>
      </c>
      <c r="AV16" s="29" t="n">
        <v>78</v>
      </c>
      <c r="AW16" s="29" t="n">
        <v>43</v>
      </c>
      <c r="AX16" s="29" t="n">
        <v>56</v>
      </c>
      <c r="AY16" s="29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AY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1" min="2" style="0" width="8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8" t="s">
        <v>205</v>
      </c>
    </row>
    <row r="4" customFormat="false" ht="30" hidden="false" customHeight="true" outlineLevel="0" collapsed="false">
      <c r="A4" s="2" t="s">
        <v>191</v>
      </c>
      <c r="B4" s="2" t="s">
        <v>192</v>
      </c>
      <c r="C4" s="2" t="s">
        <v>139</v>
      </c>
      <c r="D4" s="2" t="s">
        <v>55</v>
      </c>
      <c r="E4" s="2" t="s">
        <v>105</v>
      </c>
      <c r="F4" s="2" t="s">
        <v>85</v>
      </c>
      <c r="G4" s="2" t="s">
        <v>49</v>
      </c>
      <c r="H4" s="2" t="s">
        <v>119</v>
      </c>
      <c r="I4" s="2" t="s">
        <v>53</v>
      </c>
      <c r="J4" s="2" t="s">
        <v>97</v>
      </c>
      <c r="K4" s="2" t="s">
        <v>73</v>
      </c>
      <c r="L4" s="2" t="s">
        <v>33</v>
      </c>
      <c r="M4" s="2" t="s">
        <v>143</v>
      </c>
      <c r="N4" s="2" t="s">
        <v>103</v>
      </c>
      <c r="O4" s="2" t="s">
        <v>151</v>
      </c>
      <c r="P4" s="2" t="s">
        <v>91</v>
      </c>
      <c r="Q4" s="2" t="s">
        <v>93</v>
      </c>
      <c r="R4" s="2" t="s">
        <v>155</v>
      </c>
      <c r="S4" s="2" t="s">
        <v>87</v>
      </c>
      <c r="T4" s="2" t="s">
        <v>117</v>
      </c>
      <c r="U4" s="2" t="s">
        <v>95</v>
      </c>
      <c r="V4" s="2" t="s">
        <v>47</v>
      </c>
      <c r="W4" s="2" t="s">
        <v>161</v>
      </c>
      <c r="X4" s="2" t="s">
        <v>101</v>
      </c>
      <c r="Y4" s="2" t="s">
        <v>121</v>
      </c>
      <c r="Z4" s="2" t="s">
        <v>45</v>
      </c>
      <c r="AA4" s="2" t="s">
        <v>41</v>
      </c>
      <c r="AB4" s="2" t="s">
        <v>157</v>
      </c>
      <c r="AC4" s="2" t="s">
        <v>133</v>
      </c>
      <c r="AD4" s="2" t="s">
        <v>67</v>
      </c>
      <c r="AE4" s="2" t="s">
        <v>111</v>
      </c>
      <c r="AF4" s="2" t="s">
        <v>31</v>
      </c>
      <c r="AG4" s="2" t="s">
        <v>79</v>
      </c>
      <c r="AH4" s="2" t="s">
        <v>39</v>
      </c>
      <c r="AI4" s="2" t="s">
        <v>125</v>
      </c>
      <c r="AJ4" s="2" t="s">
        <v>71</v>
      </c>
      <c r="AK4" s="2" t="s">
        <v>127</v>
      </c>
      <c r="AL4" s="2" t="s">
        <v>51</v>
      </c>
      <c r="AM4" s="2" t="s">
        <v>147</v>
      </c>
      <c r="AN4" s="2" t="s">
        <v>149</v>
      </c>
      <c r="AO4" s="2" t="s">
        <v>69</v>
      </c>
      <c r="AP4" s="2" t="s">
        <v>123</v>
      </c>
      <c r="AQ4" s="2" t="s">
        <v>37</v>
      </c>
      <c r="AR4" s="2" t="s">
        <v>75</v>
      </c>
      <c r="AS4" s="2" t="s">
        <v>77</v>
      </c>
      <c r="AT4" s="2" t="s">
        <v>57</v>
      </c>
      <c r="AU4" s="2" t="s">
        <v>107</v>
      </c>
      <c r="AV4" s="2" t="s">
        <v>83</v>
      </c>
      <c r="AW4" s="2" t="s">
        <v>99</v>
      </c>
      <c r="AX4" s="2" t="s">
        <v>43</v>
      </c>
      <c r="AY4" s="2" t="s">
        <v>135</v>
      </c>
    </row>
    <row r="5" customFormat="false" ht="15" hidden="false" customHeight="false" outlineLevel="0" collapsed="false">
      <c r="A5" s="12" t="s">
        <v>194</v>
      </c>
      <c r="B5" s="31" t="n">
        <v>22</v>
      </c>
      <c r="C5" s="31" t="n">
        <v>37695</v>
      </c>
      <c r="D5" s="31" t="n">
        <v>7836</v>
      </c>
      <c r="E5" s="31" t="n">
        <v>4862</v>
      </c>
      <c r="F5" s="31" t="n">
        <v>2974</v>
      </c>
      <c r="G5" s="31" t="n">
        <v>3157</v>
      </c>
      <c r="H5" s="31" t="n">
        <v>2092</v>
      </c>
      <c r="I5" s="31" t="n">
        <v>1000</v>
      </c>
      <c r="J5" s="31" t="n">
        <v>1203</v>
      </c>
      <c r="K5" s="31" t="n">
        <v>300</v>
      </c>
      <c r="L5" s="31" t="n">
        <v>217</v>
      </c>
      <c r="M5" s="31" t="n">
        <v>1979</v>
      </c>
      <c r="N5" s="31" t="n">
        <v>1697</v>
      </c>
      <c r="O5" s="31" t="n">
        <v>1471</v>
      </c>
      <c r="P5" s="31" t="n">
        <v>1435</v>
      </c>
      <c r="Q5" s="31" t="n">
        <v>371</v>
      </c>
      <c r="R5" s="31" t="n">
        <v>1994</v>
      </c>
      <c r="S5" s="31" t="n">
        <v>713</v>
      </c>
      <c r="T5" s="31" t="n">
        <v>1281</v>
      </c>
      <c r="U5" s="31" t="n">
        <v>174</v>
      </c>
      <c r="V5" s="31" t="n">
        <v>309</v>
      </c>
      <c r="W5" s="31" t="n">
        <v>1783</v>
      </c>
      <c r="X5" s="31" t="n">
        <v>363</v>
      </c>
      <c r="Y5" s="31" t="n">
        <v>301</v>
      </c>
      <c r="Z5" s="31" t="n">
        <v>242</v>
      </c>
      <c r="AA5" s="31" t="n">
        <v>468</v>
      </c>
      <c r="AB5" s="31" t="n">
        <v>290</v>
      </c>
      <c r="AC5" s="31" t="n">
        <v>720</v>
      </c>
      <c r="AD5" s="31" t="n">
        <v>412</v>
      </c>
      <c r="AE5" s="31" t="n">
        <v>185</v>
      </c>
      <c r="AF5" s="29" t="n">
        <v>1075</v>
      </c>
      <c r="AG5" s="31" t="n">
        <v>194</v>
      </c>
      <c r="AH5" s="31" t="n">
        <v>101</v>
      </c>
      <c r="AI5" s="31" t="n">
        <v>949</v>
      </c>
      <c r="AJ5" s="31" t="n">
        <v>639</v>
      </c>
      <c r="AK5" s="31" t="n">
        <v>2931</v>
      </c>
      <c r="AL5" s="31" t="n">
        <v>251</v>
      </c>
      <c r="AM5" s="31" t="n">
        <v>114</v>
      </c>
      <c r="AN5" s="31" t="n">
        <v>484</v>
      </c>
      <c r="AO5" s="31" t="n">
        <v>305</v>
      </c>
      <c r="AP5" s="31" t="n">
        <v>917</v>
      </c>
      <c r="AQ5" s="31" t="n">
        <v>249</v>
      </c>
      <c r="AR5" s="31" t="n">
        <v>259</v>
      </c>
      <c r="AS5" s="29" t="n">
        <v>52</v>
      </c>
      <c r="AT5" s="29" t="n">
        <v>66</v>
      </c>
      <c r="AU5" s="29" t="n">
        <v>60</v>
      </c>
      <c r="AV5" s="29" t="n">
        <v>76</v>
      </c>
      <c r="AW5" s="29" t="n">
        <v>48</v>
      </c>
      <c r="AX5" s="29" t="n">
        <v>61</v>
      </c>
      <c r="AY5" s="29" t="n">
        <v>60</v>
      </c>
    </row>
    <row r="6" customFormat="false" ht="15" hidden="false" customHeight="false" outlineLevel="0" collapsed="false">
      <c r="A6" s="24" t="s">
        <v>186</v>
      </c>
      <c r="B6" s="32" t="n">
        <v>21</v>
      </c>
      <c r="C6" s="32" t="n">
        <v>36530</v>
      </c>
      <c r="D6" s="32" t="n">
        <v>7821</v>
      </c>
      <c r="E6" s="32" t="n">
        <v>4828</v>
      </c>
      <c r="F6" s="32" t="n">
        <v>2993</v>
      </c>
      <c r="G6" s="32" t="n">
        <v>3211</v>
      </c>
      <c r="H6" s="32" t="n">
        <v>2086</v>
      </c>
      <c r="I6" s="32" t="n">
        <v>916</v>
      </c>
      <c r="J6" s="32" t="n">
        <v>1167</v>
      </c>
      <c r="K6" s="32" t="n">
        <v>310</v>
      </c>
      <c r="L6" s="32" t="n">
        <v>245</v>
      </c>
      <c r="M6" s="32" t="n">
        <v>2102</v>
      </c>
      <c r="N6" s="32" t="n">
        <v>1559</v>
      </c>
      <c r="O6" s="32" t="n">
        <v>1387</v>
      </c>
      <c r="P6" s="32" t="n">
        <v>888</v>
      </c>
      <c r="Q6" s="32" t="n">
        <v>193</v>
      </c>
      <c r="R6" s="32" t="n">
        <v>2104</v>
      </c>
      <c r="S6" s="32" t="n">
        <v>717</v>
      </c>
      <c r="T6" s="32" t="n">
        <v>1387</v>
      </c>
      <c r="U6" s="32" t="n">
        <v>174</v>
      </c>
      <c r="V6" s="32" t="n">
        <v>323</v>
      </c>
      <c r="W6" s="32" t="n">
        <v>1763</v>
      </c>
      <c r="X6" s="32" t="n">
        <v>336</v>
      </c>
      <c r="Y6" s="32" t="n">
        <v>333</v>
      </c>
      <c r="Z6" s="32" t="n">
        <v>226</v>
      </c>
      <c r="AA6" s="32" t="n">
        <v>422</v>
      </c>
      <c r="AB6" s="32" t="n">
        <v>268</v>
      </c>
      <c r="AC6" s="32" t="n">
        <v>698</v>
      </c>
      <c r="AD6" s="32" t="n">
        <v>359</v>
      </c>
      <c r="AE6" s="32" t="n">
        <v>189</v>
      </c>
      <c r="AF6" s="28" t="n">
        <v>953</v>
      </c>
      <c r="AG6" s="32" t="n">
        <v>199</v>
      </c>
      <c r="AH6" s="32" t="n">
        <v>98</v>
      </c>
      <c r="AI6" s="32" t="n">
        <v>908</v>
      </c>
      <c r="AJ6" s="32" t="n">
        <v>576</v>
      </c>
      <c r="AK6" s="32" t="n">
        <v>2717</v>
      </c>
      <c r="AL6" s="32" t="n">
        <v>226</v>
      </c>
      <c r="AM6" s="32" t="n">
        <v>126</v>
      </c>
      <c r="AN6" s="32" t="n">
        <v>408</v>
      </c>
      <c r="AO6" s="32" t="n">
        <v>242</v>
      </c>
      <c r="AP6" s="32" t="n">
        <v>901</v>
      </c>
      <c r="AQ6" s="32" t="n">
        <v>244</v>
      </c>
      <c r="AR6" s="32" t="n">
        <v>275</v>
      </c>
      <c r="AS6" s="28" t="n">
        <v>53</v>
      </c>
      <c r="AT6" s="28" t="n">
        <v>69</v>
      </c>
      <c r="AU6" s="28" t="n">
        <v>62</v>
      </c>
      <c r="AV6" s="28" t="n">
        <v>79</v>
      </c>
      <c r="AW6" s="28" t="n">
        <v>54</v>
      </c>
      <c r="AX6" s="28" t="n">
        <v>64</v>
      </c>
      <c r="AY6" s="28" t="n">
        <v>63</v>
      </c>
    </row>
    <row r="7" customFormat="false" ht="15" hidden="false" customHeight="false" outlineLevel="0" collapsed="false">
      <c r="A7" s="12" t="s">
        <v>193</v>
      </c>
      <c r="B7" s="31" t="n">
        <v>21</v>
      </c>
      <c r="C7" s="31" t="n">
        <v>36381</v>
      </c>
      <c r="D7" s="31" t="n">
        <v>7837</v>
      </c>
      <c r="E7" s="31" t="n">
        <v>4853</v>
      </c>
      <c r="F7" s="31" t="n">
        <v>2984</v>
      </c>
      <c r="G7" s="31" t="n">
        <v>3140</v>
      </c>
      <c r="H7" s="31" t="n">
        <v>2153</v>
      </c>
      <c r="I7" s="31" t="n">
        <v>991</v>
      </c>
      <c r="J7" s="31" t="n">
        <v>1105</v>
      </c>
      <c r="K7" s="31" t="n">
        <v>277</v>
      </c>
      <c r="L7" s="31" t="n">
        <v>220</v>
      </c>
      <c r="M7" s="31" t="n">
        <v>1957</v>
      </c>
      <c r="N7" s="31" t="n">
        <v>1520</v>
      </c>
      <c r="O7" s="31" t="n">
        <v>1296</v>
      </c>
      <c r="P7" s="31" t="n">
        <v>1109</v>
      </c>
      <c r="Q7" s="31" t="n">
        <v>247</v>
      </c>
      <c r="R7" s="31" t="n">
        <v>1972</v>
      </c>
      <c r="S7" s="31" t="n">
        <v>716</v>
      </c>
      <c r="T7" s="31" t="n">
        <v>1256</v>
      </c>
      <c r="U7" s="31" t="n">
        <v>189</v>
      </c>
      <c r="V7" s="31" t="n">
        <v>340</v>
      </c>
      <c r="W7" s="31" t="n">
        <v>1813</v>
      </c>
      <c r="X7" s="31" t="n">
        <v>359</v>
      </c>
      <c r="Y7" s="31" t="n">
        <v>275</v>
      </c>
      <c r="Z7" s="31" t="n">
        <v>253</v>
      </c>
      <c r="AA7" s="31" t="n">
        <v>456</v>
      </c>
      <c r="AB7" s="31" t="n">
        <v>282</v>
      </c>
      <c r="AC7" s="31" t="n">
        <v>733</v>
      </c>
      <c r="AD7" s="31" t="n">
        <v>332</v>
      </c>
      <c r="AE7" s="31" t="n">
        <v>197</v>
      </c>
      <c r="AF7" s="29" t="n">
        <v>900</v>
      </c>
      <c r="AG7" s="31" t="n">
        <v>177</v>
      </c>
      <c r="AH7" s="31" t="n">
        <v>88</v>
      </c>
      <c r="AI7" s="31" t="n">
        <v>897</v>
      </c>
      <c r="AJ7" s="31" t="n">
        <v>556</v>
      </c>
      <c r="AK7" s="31" t="n">
        <v>2565</v>
      </c>
      <c r="AL7" s="31" t="n">
        <v>267</v>
      </c>
      <c r="AM7" s="31" t="n">
        <v>91</v>
      </c>
      <c r="AN7" s="31" t="n">
        <v>338</v>
      </c>
      <c r="AO7" s="31" t="n">
        <v>296</v>
      </c>
      <c r="AP7" s="31" t="n">
        <v>802</v>
      </c>
      <c r="AQ7" s="31" t="n">
        <v>198</v>
      </c>
      <c r="AR7" s="31" t="n">
        <v>237</v>
      </c>
      <c r="AS7" s="29" t="n">
        <v>51</v>
      </c>
      <c r="AT7" s="29" t="n">
        <v>68</v>
      </c>
      <c r="AU7" s="29" t="n">
        <v>61</v>
      </c>
      <c r="AV7" s="29" t="n">
        <v>79</v>
      </c>
      <c r="AW7" s="29" t="n">
        <v>51</v>
      </c>
      <c r="AX7" s="29" t="n">
        <v>61</v>
      </c>
      <c r="AY7" s="29" t="n">
        <v>63</v>
      </c>
    </row>
    <row r="8" customFormat="false" ht="15" hidden="false" customHeight="false" outlineLevel="0" collapsed="false">
      <c r="A8" s="12" t="s">
        <v>198</v>
      </c>
      <c r="B8" s="31" t="n">
        <v>20</v>
      </c>
      <c r="C8" s="31" t="n">
        <v>31039</v>
      </c>
      <c r="D8" s="31" t="n">
        <v>6773</v>
      </c>
      <c r="E8" s="31" t="n">
        <v>3981</v>
      </c>
      <c r="F8" s="31" t="n">
        <v>2792</v>
      </c>
      <c r="G8" s="31" t="n">
        <v>2705</v>
      </c>
      <c r="H8" s="31" t="n">
        <v>1626</v>
      </c>
      <c r="I8" s="31" t="n">
        <v>890</v>
      </c>
      <c r="J8" s="31" t="n">
        <v>888</v>
      </c>
      <c r="K8" s="31" t="n">
        <v>212</v>
      </c>
      <c r="L8" s="31" t="n">
        <v>175</v>
      </c>
      <c r="M8" s="31" t="n">
        <v>1426</v>
      </c>
      <c r="N8" s="31" t="n">
        <v>1359</v>
      </c>
      <c r="O8" s="31" t="n">
        <v>1305</v>
      </c>
      <c r="P8" s="31" t="n">
        <v>1052</v>
      </c>
      <c r="Q8" s="31" t="n">
        <v>225</v>
      </c>
      <c r="R8" s="31" t="n">
        <v>1619</v>
      </c>
      <c r="S8" s="31" t="n">
        <v>581</v>
      </c>
      <c r="T8" s="31" t="n">
        <v>1038</v>
      </c>
      <c r="U8" s="31" t="n">
        <v>202</v>
      </c>
      <c r="V8" s="31" t="n">
        <v>249</v>
      </c>
      <c r="W8" s="31" t="n">
        <v>1377</v>
      </c>
      <c r="X8" s="31" t="n">
        <v>282</v>
      </c>
      <c r="Y8" s="31" t="n">
        <v>207</v>
      </c>
      <c r="Z8" s="31" t="n">
        <v>170</v>
      </c>
      <c r="AA8" s="31" t="n">
        <v>446</v>
      </c>
      <c r="AB8" s="31" t="n">
        <v>274</v>
      </c>
      <c r="AC8" s="31" t="n">
        <v>760</v>
      </c>
      <c r="AD8" s="31" t="n">
        <v>394</v>
      </c>
      <c r="AE8" s="31" t="n">
        <v>226</v>
      </c>
      <c r="AF8" s="29" t="n">
        <v>832</v>
      </c>
      <c r="AG8" s="31" t="n">
        <v>125</v>
      </c>
      <c r="AH8" s="31" t="n">
        <v>103</v>
      </c>
      <c r="AI8" s="31" t="n">
        <v>874</v>
      </c>
      <c r="AJ8" s="31" t="n">
        <v>427</v>
      </c>
      <c r="AK8" s="31" t="n">
        <v>2595</v>
      </c>
      <c r="AL8" s="31" t="n">
        <v>271</v>
      </c>
      <c r="AM8" s="31" t="n">
        <v>86</v>
      </c>
      <c r="AN8" s="31" t="n">
        <v>343</v>
      </c>
      <c r="AO8" s="31" t="n">
        <v>212</v>
      </c>
      <c r="AP8" s="31" t="n">
        <v>796</v>
      </c>
      <c r="AQ8" s="31" t="n">
        <v>297</v>
      </c>
      <c r="AR8" s="31" t="n">
        <v>166</v>
      </c>
      <c r="AS8" s="29" t="n">
        <v>50</v>
      </c>
      <c r="AT8" s="29" t="n">
        <v>67</v>
      </c>
      <c r="AU8" s="29" t="n">
        <v>59</v>
      </c>
      <c r="AV8" s="29" t="n">
        <v>79</v>
      </c>
      <c r="AW8" s="29" t="n">
        <v>51</v>
      </c>
      <c r="AX8" s="29" t="n">
        <v>64</v>
      </c>
      <c r="AY8" s="29" t="n">
        <v>59</v>
      </c>
    </row>
    <row r="9" customFormat="false" ht="15" hidden="false" customHeight="false" outlineLevel="0" collapsed="false">
      <c r="A9" s="21" t="s">
        <v>195</v>
      </c>
      <c r="B9" s="33" t="n">
        <v>18</v>
      </c>
      <c r="C9" s="33" t="n">
        <v>29119</v>
      </c>
      <c r="D9" s="33" t="n">
        <v>6295</v>
      </c>
      <c r="E9" s="33" t="n">
        <v>4038</v>
      </c>
      <c r="F9" s="33" t="n">
        <v>2257</v>
      </c>
      <c r="G9" s="33" t="n">
        <v>2321</v>
      </c>
      <c r="H9" s="33" t="n">
        <v>1988</v>
      </c>
      <c r="I9" s="33" t="n">
        <v>752</v>
      </c>
      <c r="J9" s="33" t="n">
        <v>870</v>
      </c>
      <c r="K9" s="33" t="n">
        <v>208</v>
      </c>
      <c r="L9" s="33" t="n">
        <v>163</v>
      </c>
      <c r="M9" s="33" t="n">
        <v>1520</v>
      </c>
      <c r="N9" s="33" t="n">
        <v>1230</v>
      </c>
      <c r="O9" s="33" t="n">
        <v>993</v>
      </c>
      <c r="P9" s="33" t="n">
        <v>1012</v>
      </c>
      <c r="Q9" s="33" t="n">
        <v>212</v>
      </c>
      <c r="R9" s="33" t="n">
        <v>1403</v>
      </c>
      <c r="S9" s="33" t="n">
        <v>511</v>
      </c>
      <c r="T9" s="33" t="n">
        <v>892</v>
      </c>
      <c r="U9" s="33" t="n">
        <v>133</v>
      </c>
      <c r="V9" s="33" t="n">
        <v>258</v>
      </c>
      <c r="W9" s="33" t="n">
        <v>1730</v>
      </c>
      <c r="X9" s="33" t="n">
        <v>303</v>
      </c>
      <c r="Y9" s="33" t="n">
        <v>272</v>
      </c>
      <c r="Z9" s="33" t="n">
        <v>180</v>
      </c>
      <c r="AA9" s="33" t="n">
        <v>361</v>
      </c>
      <c r="AB9" s="33" t="n">
        <v>211</v>
      </c>
      <c r="AC9" s="33" t="n">
        <v>554</v>
      </c>
      <c r="AD9" s="33" t="n">
        <v>328</v>
      </c>
      <c r="AE9" s="33" t="n">
        <v>165</v>
      </c>
      <c r="AF9" s="30" t="n">
        <v>654</v>
      </c>
      <c r="AG9" s="33" t="n">
        <v>127</v>
      </c>
      <c r="AH9" s="33" t="n">
        <v>90</v>
      </c>
      <c r="AI9" s="33" t="n">
        <v>702</v>
      </c>
      <c r="AJ9" s="33" t="n">
        <v>443</v>
      </c>
      <c r="AK9" s="33" t="n">
        <v>1893</v>
      </c>
      <c r="AL9" s="33" t="n">
        <v>228</v>
      </c>
      <c r="AM9" s="33" t="n">
        <v>58</v>
      </c>
      <c r="AN9" s="33" t="n">
        <v>247</v>
      </c>
      <c r="AO9" s="33" t="n">
        <v>184</v>
      </c>
      <c r="AP9" s="33" t="n">
        <v>618</v>
      </c>
      <c r="AQ9" s="33" t="n">
        <v>191</v>
      </c>
      <c r="AR9" s="33" t="n">
        <v>175</v>
      </c>
      <c r="AS9" s="30" t="n">
        <v>50</v>
      </c>
      <c r="AT9" s="30" t="n">
        <v>69</v>
      </c>
      <c r="AU9" s="30" t="n">
        <v>64</v>
      </c>
      <c r="AV9" s="30" t="n">
        <v>77</v>
      </c>
      <c r="AW9" s="30" t="n">
        <v>51</v>
      </c>
      <c r="AX9" s="30" t="n">
        <v>61</v>
      </c>
      <c r="AY9" s="30" t="n">
        <v>64</v>
      </c>
    </row>
    <row r="10" customFormat="false" ht="15" hidden="false" customHeight="false" outlineLevel="0" collapsed="false">
      <c r="A10" s="12" t="s">
        <v>200</v>
      </c>
      <c r="B10" s="31" t="n">
        <v>19</v>
      </c>
      <c r="C10" s="31" t="n">
        <v>28775</v>
      </c>
      <c r="D10" s="31" t="n">
        <v>6170</v>
      </c>
      <c r="E10" s="31" t="n">
        <v>3932</v>
      </c>
      <c r="F10" s="31" t="n">
        <v>2238</v>
      </c>
      <c r="G10" s="31" t="n">
        <v>2410</v>
      </c>
      <c r="H10" s="31" t="n">
        <v>1681</v>
      </c>
      <c r="I10" s="31" t="n">
        <v>748</v>
      </c>
      <c r="J10" s="31" t="n">
        <v>879</v>
      </c>
      <c r="K10" s="31" t="n">
        <v>200</v>
      </c>
      <c r="L10" s="31" t="n">
        <v>173</v>
      </c>
      <c r="M10" s="31" t="n">
        <v>1365</v>
      </c>
      <c r="N10" s="31" t="n">
        <v>1338</v>
      </c>
      <c r="O10" s="31" t="n">
        <v>1288</v>
      </c>
      <c r="P10" s="31" t="n">
        <v>663</v>
      </c>
      <c r="Q10" s="31" t="n">
        <v>122</v>
      </c>
      <c r="R10" s="31" t="n">
        <v>1642</v>
      </c>
      <c r="S10" s="31" t="n">
        <v>566</v>
      </c>
      <c r="T10" s="31" t="n">
        <v>1076</v>
      </c>
      <c r="U10" s="31" t="n">
        <v>178</v>
      </c>
      <c r="V10" s="31" t="n">
        <v>187</v>
      </c>
      <c r="W10" s="31" t="n">
        <v>1494</v>
      </c>
      <c r="X10" s="31" t="n">
        <v>255</v>
      </c>
      <c r="Y10" s="31" t="n">
        <v>225</v>
      </c>
      <c r="Z10" s="31" t="n">
        <v>165</v>
      </c>
      <c r="AA10" s="31" t="n">
        <v>357</v>
      </c>
      <c r="AB10" s="31" t="n">
        <v>226</v>
      </c>
      <c r="AC10" s="31" t="n">
        <v>678</v>
      </c>
      <c r="AD10" s="31" t="n">
        <v>384</v>
      </c>
      <c r="AE10" s="31" t="n">
        <v>204</v>
      </c>
      <c r="AF10" s="29" t="n">
        <v>874</v>
      </c>
      <c r="AG10" s="31" t="n">
        <v>124</v>
      </c>
      <c r="AH10" s="31" t="n">
        <v>79</v>
      </c>
      <c r="AI10" s="31" t="n">
        <v>825</v>
      </c>
      <c r="AJ10" s="31" t="n">
        <v>445</v>
      </c>
      <c r="AK10" s="31" t="n">
        <v>2572</v>
      </c>
      <c r="AL10" s="31" t="n">
        <v>266</v>
      </c>
      <c r="AM10" s="31" t="n">
        <v>73</v>
      </c>
      <c r="AN10" s="31" t="n">
        <v>312</v>
      </c>
      <c r="AO10" s="31" t="n">
        <v>222</v>
      </c>
      <c r="AP10" s="31" t="n">
        <v>818</v>
      </c>
      <c r="AQ10" s="31" t="n">
        <v>248</v>
      </c>
      <c r="AR10" s="31" t="n">
        <v>167</v>
      </c>
      <c r="AS10" s="29" t="n">
        <v>50</v>
      </c>
      <c r="AT10" s="29" t="n">
        <v>66</v>
      </c>
      <c r="AU10" s="29" t="n">
        <v>60</v>
      </c>
      <c r="AV10" s="29" t="n">
        <v>78</v>
      </c>
      <c r="AW10" s="29" t="n">
        <v>51</v>
      </c>
      <c r="AX10" s="29" t="n">
        <v>62</v>
      </c>
      <c r="AY10" s="29" t="n">
        <v>62</v>
      </c>
    </row>
    <row r="11" customFormat="false" ht="15" hidden="false" customHeight="false" outlineLevel="0" collapsed="false">
      <c r="A11" s="12" t="s">
        <v>196</v>
      </c>
      <c r="B11" s="31" t="n">
        <v>18</v>
      </c>
      <c r="C11" s="31" t="n">
        <v>28212</v>
      </c>
      <c r="D11" s="31" t="n">
        <v>5821</v>
      </c>
      <c r="E11" s="31" t="n">
        <v>3752</v>
      </c>
      <c r="F11" s="31" t="n">
        <v>2069</v>
      </c>
      <c r="G11" s="31" t="n">
        <v>2488</v>
      </c>
      <c r="H11" s="31" t="n">
        <v>1715</v>
      </c>
      <c r="I11" s="31" t="n">
        <v>780</v>
      </c>
      <c r="J11" s="31" t="n">
        <v>874</v>
      </c>
      <c r="K11" s="31" t="n">
        <v>213</v>
      </c>
      <c r="L11" s="31" t="n">
        <v>170</v>
      </c>
      <c r="M11" s="31" t="n">
        <v>1538</v>
      </c>
      <c r="N11" s="31" t="n">
        <v>1259</v>
      </c>
      <c r="O11" s="31" t="n">
        <v>1084</v>
      </c>
      <c r="P11" s="31" t="n">
        <v>972</v>
      </c>
      <c r="Q11" s="31" t="n">
        <v>198</v>
      </c>
      <c r="R11" s="31" t="n">
        <v>1511</v>
      </c>
      <c r="S11" s="31" t="n">
        <v>585</v>
      </c>
      <c r="T11" s="31" t="n">
        <v>926</v>
      </c>
      <c r="U11" s="31" t="n">
        <v>160</v>
      </c>
      <c r="V11" s="31" t="n">
        <v>270</v>
      </c>
      <c r="W11" s="31" t="n">
        <v>1445</v>
      </c>
      <c r="X11" s="31" t="n">
        <v>285</v>
      </c>
      <c r="Y11" s="31" t="n">
        <v>248</v>
      </c>
      <c r="Z11" s="31" t="n">
        <v>195</v>
      </c>
      <c r="AA11" s="31" t="n">
        <v>358</v>
      </c>
      <c r="AB11" s="31" t="n">
        <v>227</v>
      </c>
      <c r="AC11" s="31" t="n">
        <v>599</v>
      </c>
      <c r="AD11" s="31" t="n">
        <v>353</v>
      </c>
      <c r="AE11" s="31" t="n">
        <v>169</v>
      </c>
      <c r="AF11" s="29" t="n">
        <v>778</v>
      </c>
      <c r="AG11" s="31" t="n">
        <v>134</v>
      </c>
      <c r="AH11" s="31" t="n">
        <v>110</v>
      </c>
      <c r="AI11" s="31" t="n">
        <v>755</v>
      </c>
      <c r="AJ11" s="31" t="n">
        <v>430</v>
      </c>
      <c r="AK11" s="31" t="n">
        <v>2290</v>
      </c>
      <c r="AL11" s="31" t="n">
        <v>236</v>
      </c>
      <c r="AM11" s="31" t="n">
        <v>80</v>
      </c>
      <c r="AN11" s="31" t="n">
        <v>307</v>
      </c>
      <c r="AO11" s="31" t="n">
        <v>207</v>
      </c>
      <c r="AP11" s="31" t="n">
        <v>664</v>
      </c>
      <c r="AQ11" s="31" t="n">
        <v>213</v>
      </c>
      <c r="AR11" s="31" t="n">
        <v>179</v>
      </c>
      <c r="AS11" s="29" t="n">
        <v>48</v>
      </c>
      <c r="AT11" s="29" t="n">
        <v>67</v>
      </c>
      <c r="AU11" s="29" t="n">
        <v>61</v>
      </c>
      <c r="AV11" s="29" t="n">
        <v>78</v>
      </c>
      <c r="AW11" s="29" t="n">
        <v>50</v>
      </c>
      <c r="AX11" s="29" t="n">
        <v>59</v>
      </c>
      <c r="AY11" s="29" t="n">
        <v>60</v>
      </c>
    </row>
    <row r="12" customFormat="false" ht="15" hidden="false" customHeight="false" outlineLevel="0" collapsed="false">
      <c r="A12" s="12" t="s">
        <v>197</v>
      </c>
      <c r="B12" s="31" t="n">
        <v>18</v>
      </c>
      <c r="C12" s="31" t="n">
        <v>28175</v>
      </c>
      <c r="D12" s="31" t="n">
        <v>6104</v>
      </c>
      <c r="E12" s="31" t="n">
        <v>3675</v>
      </c>
      <c r="F12" s="31" t="n">
        <v>2429</v>
      </c>
      <c r="G12" s="31" t="n">
        <v>2586</v>
      </c>
      <c r="H12" s="31" t="n">
        <v>1501</v>
      </c>
      <c r="I12" s="31" t="n">
        <v>795</v>
      </c>
      <c r="J12" s="31" t="n">
        <v>972</v>
      </c>
      <c r="K12" s="31" t="n">
        <v>206</v>
      </c>
      <c r="L12" s="31" t="n">
        <v>174</v>
      </c>
      <c r="M12" s="31" t="n">
        <v>1390</v>
      </c>
      <c r="N12" s="31" t="n">
        <v>1332</v>
      </c>
      <c r="O12" s="31" t="n">
        <v>1185</v>
      </c>
      <c r="P12" s="31" t="n">
        <v>745</v>
      </c>
      <c r="Q12" s="31" t="n">
        <v>158</v>
      </c>
      <c r="R12" s="31" t="n">
        <v>1734</v>
      </c>
      <c r="S12" s="31" t="n">
        <v>676</v>
      </c>
      <c r="T12" s="31" t="n">
        <v>1058</v>
      </c>
      <c r="U12" s="31" t="n">
        <v>186</v>
      </c>
      <c r="V12" s="31" t="n">
        <v>234</v>
      </c>
      <c r="W12" s="31" t="n">
        <v>1267</v>
      </c>
      <c r="X12" s="31" t="n">
        <v>281</v>
      </c>
      <c r="Y12" s="31" t="n">
        <v>208</v>
      </c>
      <c r="Z12" s="31" t="n">
        <v>196</v>
      </c>
      <c r="AA12" s="31" t="n">
        <v>381</v>
      </c>
      <c r="AB12" s="31" t="n">
        <v>218</v>
      </c>
      <c r="AC12" s="31" t="n">
        <v>625</v>
      </c>
      <c r="AD12" s="31" t="n">
        <v>310</v>
      </c>
      <c r="AE12" s="31" t="n">
        <v>203</v>
      </c>
      <c r="AF12" s="29" t="n">
        <v>795</v>
      </c>
      <c r="AG12" s="31" t="n">
        <v>120</v>
      </c>
      <c r="AH12" s="31" t="n">
        <v>92</v>
      </c>
      <c r="AI12" s="31" t="n">
        <v>817</v>
      </c>
      <c r="AJ12" s="31" t="n">
        <v>553</v>
      </c>
      <c r="AK12" s="31" t="n">
        <v>2309</v>
      </c>
      <c r="AL12" s="31" t="n">
        <v>196</v>
      </c>
      <c r="AM12" s="31" t="n">
        <v>68</v>
      </c>
      <c r="AN12" s="31" t="n">
        <v>379</v>
      </c>
      <c r="AO12" s="31" t="n">
        <v>226</v>
      </c>
      <c r="AP12" s="31" t="n">
        <v>705</v>
      </c>
      <c r="AQ12" s="31" t="n">
        <v>254</v>
      </c>
      <c r="AR12" s="31" t="n">
        <v>172</v>
      </c>
      <c r="AS12" s="29" t="n">
        <v>49</v>
      </c>
      <c r="AT12" s="29" t="n">
        <v>66</v>
      </c>
      <c r="AU12" s="29" t="n">
        <v>59</v>
      </c>
      <c r="AV12" s="29" t="n">
        <v>77</v>
      </c>
      <c r="AW12" s="29" t="n">
        <v>49</v>
      </c>
      <c r="AX12" s="29" t="n">
        <v>65</v>
      </c>
      <c r="AY12" s="29" t="n">
        <v>62</v>
      </c>
    </row>
    <row r="13" customFormat="false" ht="15" hidden="false" customHeight="false" outlineLevel="0" collapsed="false">
      <c r="A13" s="12" t="s">
        <v>199</v>
      </c>
      <c r="B13" s="31" t="n">
        <v>18</v>
      </c>
      <c r="C13" s="31" t="n">
        <v>27596</v>
      </c>
      <c r="D13" s="31" t="n">
        <v>5817</v>
      </c>
      <c r="E13" s="31" t="n">
        <v>3484</v>
      </c>
      <c r="F13" s="31" t="n">
        <v>2333</v>
      </c>
      <c r="G13" s="31" t="n">
        <v>2518</v>
      </c>
      <c r="H13" s="31" t="n">
        <v>1333</v>
      </c>
      <c r="I13" s="31" t="n">
        <v>787</v>
      </c>
      <c r="J13" s="31" t="n">
        <v>922</v>
      </c>
      <c r="K13" s="31" t="n">
        <v>225</v>
      </c>
      <c r="L13" s="31" t="n">
        <v>188</v>
      </c>
      <c r="M13" s="31" t="n">
        <v>1457</v>
      </c>
      <c r="N13" s="31" t="n">
        <v>1305</v>
      </c>
      <c r="O13" s="31" t="n">
        <v>1275</v>
      </c>
      <c r="P13" s="31" t="n">
        <v>774</v>
      </c>
      <c r="Q13" s="31" t="n">
        <v>194</v>
      </c>
      <c r="R13" s="31" t="n">
        <v>1649</v>
      </c>
      <c r="S13" s="31" t="n">
        <v>499</v>
      </c>
      <c r="T13" s="31" t="n">
        <v>1150</v>
      </c>
      <c r="U13" s="31" t="n">
        <v>150</v>
      </c>
      <c r="V13" s="31" t="n">
        <v>222</v>
      </c>
      <c r="W13" s="31" t="n">
        <v>1111</v>
      </c>
      <c r="X13" s="31" t="n">
        <v>248</v>
      </c>
      <c r="Y13" s="31" t="n">
        <v>206</v>
      </c>
      <c r="Z13" s="31" t="n">
        <v>210</v>
      </c>
      <c r="AA13" s="31" t="n">
        <v>349</v>
      </c>
      <c r="AB13" s="31" t="n">
        <v>228</v>
      </c>
      <c r="AC13" s="31" t="n">
        <v>596</v>
      </c>
      <c r="AD13" s="31" t="n">
        <v>443</v>
      </c>
      <c r="AE13" s="31" t="n">
        <v>205</v>
      </c>
      <c r="AF13" s="29" t="n">
        <v>824</v>
      </c>
      <c r="AG13" s="31" t="n">
        <v>130</v>
      </c>
      <c r="AH13" s="31" t="n">
        <v>111</v>
      </c>
      <c r="AI13" s="31" t="n">
        <v>767</v>
      </c>
      <c r="AJ13" s="31" t="n">
        <v>495</v>
      </c>
      <c r="AK13" s="31" t="n">
        <v>2432</v>
      </c>
      <c r="AL13" s="31" t="n">
        <v>171</v>
      </c>
      <c r="AM13" s="31" t="n">
        <v>106</v>
      </c>
      <c r="AN13" s="31" t="n">
        <v>320</v>
      </c>
      <c r="AO13" s="31" t="n">
        <v>241</v>
      </c>
      <c r="AP13" s="31" t="n">
        <v>760</v>
      </c>
      <c r="AQ13" s="31" t="n">
        <v>274</v>
      </c>
      <c r="AR13" s="31" t="n">
        <v>188</v>
      </c>
      <c r="AS13" s="29" t="n">
        <v>50</v>
      </c>
      <c r="AT13" s="29" t="n">
        <v>65</v>
      </c>
      <c r="AU13" s="29" t="n">
        <v>56</v>
      </c>
      <c r="AV13" s="29" t="n">
        <v>78</v>
      </c>
      <c r="AW13" s="29" t="n">
        <v>46</v>
      </c>
      <c r="AX13" s="29" t="n">
        <v>62</v>
      </c>
      <c r="AY13" s="29" t="n">
        <v>59</v>
      </c>
    </row>
    <row r="14" customFormat="false" ht="15" hidden="false" customHeight="false" outlineLevel="0" collapsed="false">
      <c r="A14" s="12" t="s">
        <v>201</v>
      </c>
      <c r="B14" s="31" t="n">
        <v>17</v>
      </c>
      <c r="C14" s="31" t="n">
        <v>25144</v>
      </c>
      <c r="D14" s="31" t="n">
        <v>5623</v>
      </c>
      <c r="E14" s="31" t="n">
        <v>3303</v>
      </c>
      <c r="F14" s="31" t="n">
        <v>2320</v>
      </c>
      <c r="G14" s="31" t="n">
        <v>2178</v>
      </c>
      <c r="H14" s="31" t="n">
        <v>1468</v>
      </c>
      <c r="I14" s="31" t="n">
        <v>621</v>
      </c>
      <c r="J14" s="31" t="n">
        <v>636</v>
      </c>
      <c r="K14" s="31" t="n">
        <v>138</v>
      </c>
      <c r="L14" s="31" t="n">
        <v>109</v>
      </c>
      <c r="M14" s="31" t="n">
        <v>1048</v>
      </c>
      <c r="N14" s="31" t="n">
        <v>1110</v>
      </c>
      <c r="O14" s="31" t="n">
        <v>1052</v>
      </c>
      <c r="P14" s="31" t="n">
        <v>567</v>
      </c>
      <c r="Q14" s="31" t="n">
        <v>153</v>
      </c>
      <c r="R14" s="31" t="n">
        <v>1435</v>
      </c>
      <c r="S14" s="31" t="n">
        <v>520</v>
      </c>
      <c r="T14" s="31" t="n">
        <v>915</v>
      </c>
      <c r="U14" s="31" t="n">
        <v>172</v>
      </c>
      <c r="V14" s="31" t="n">
        <v>202</v>
      </c>
      <c r="W14" s="31" t="n">
        <v>1266</v>
      </c>
      <c r="X14" s="31" t="n">
        <v>241</v>
      </c>
      <c r="Y14" s="31" t="n">
        <v>162</v>
      </c>
      <c r="Z14" s="31" t="n">
        <v>154</v>
      </c>
      <c r="AA14" s="31" t="n">
        <v>256</v>
      </c>
      <c r="AB14" s="31" t="n">
        <v>211</v>
      </c>
      <c r="AC14" s="31" t="n">
        <v>675</v>
      </c>
      <c r="AD14" s="31" t="n">
        <v>339</v>
      </c>
      <c r="AE14" s="31" t="n">
        <v>203</v>
      </c>
      <c r="AF14" s="29" t="n">
        <v>675</v>
      </c>
      <c r="AG14" s="31" t="n">
        <v>91</v>
      </c>
      <c r="AH14" s="31" t="n">
        <v>106</v>
      </c>
      <c r="AI14" s="31" t="n">
        <v>764</v>
      </c>
      <c r="AJ14" s="31" t="n">
        <v>349</v>
      </c>
      <c r="AK14" s="31" t="n">
        <v>2076</v>
      </c>
      <c r="AL14" s="31" t="n">
        <v>204</v>
      </c>
      <c r="AM14" s="31" t="n">
        <v>66</v>
      </c>
      <c r="AN14" s="31" t="n">
        <v>267</v>
      </c>
      <c r="AO14" s="31" t="n">
        <v>163</v>
      </c>
      <c r="AP14" s="31" t="n">
        <v>591</v>
      </c>
      <c r="AQ14" s="31" t="n">
        <v>298</v>
      </c>
      <c r="AR14" s="31" t="n">
        <v>120</v>
      </c>
      <c r="AS14" s="29" t="n">
        <v>49</v>
      </c>
      <c r="AT14" s="29" t="n">
        <v>69</v>
      </c>
      <c r="AU14" s="29" t="n">
        <v>62</v>
      </c>
      <c r="AV14" s="29" t="n">
        <v>79</v>
      </c>
      <c r="AW14" s="29" t="n">
        <v>51</v>
      </c>
      <c r="AX14" s="29" t="n">
        <v>66</v>
      </c>
      <c r="AY14" s="29" t="n">
        <v>64</v>
      </c>
    </row>
    <row r="15" customFormat="false" ht="15" hidden="false" customHeight="false" outlineLevel="0" collapsed="false">
      <c r="A15" s="12" t="s">
        <v>202</v>
      </c>
      <c r="B15" s="31" t="n">
        <v>17</v>
      </c>
      <c r="C15" s="31" t="n">
        <v>24288</v>
      </c>
      <c r="D15" s="31" t="n">
        <v>5407</v>
      </c>
      <c r="E15" s="31" t="n">
        <v>3342</v>
      </c>
      <c r="F15" s="31" t="n">
        <v>2065</v>
      </c>
      <c r="G15" s="31" t="n">
        <v>2191</v>
      </c>
      <c r="H15" s="31" t="n">
        <v>1461</v>
      </c>
      <c r="I15" s="31" t="n">
        <v>668</v>
      </c>
      <c r="J15" s="31" t="n">
        <v>678</v>
      </c>
      <c r="K15" s="31" t="n">
        <v>137</v>
      </c>
      <c r="L15" s="31" t="n">
        <v>111</v>
      </c>
      <c r="M15" s="31" t="n">
        <v>967</v>
      </c>
      <c r="N15" s="31" t="n">
        <v>1127</v>
      </c>
      <c r="O15" s="31" t="n">
        <v>869</v>
      </c>
      <c r="P15" s="31" t="n">
        <v>963</v>
      </c>
      <c r="Q15" s="31" t="n">
        <v>231</v>
      </c>
      <c r="R15" s="31" t="n">
        <v>1357</v>
      </c>
      <c r="S15" s="31" t="n">
        <v>481</v>
      </c>
      <c r="T15" s="31" t="n">
        <v>876</v>
      </c>
      <c r="U15" s="31" t="n">
        <v>125</v>
      </c>
      <c r="V15" s="31" t="n">
        <v>223</v>
      </c>
      <c r="W15" s="31" t="n">
        <v>1238</v>
      </c>
      <c r="X15" s="31" t="n">
        <v>236</v>
      </c>
      <c r="Y15" s="31" t="n">
        <v>155</v>
      </c>
      <c r="Z15" s="31" t="n">
        <v>159</v>
      </c>
      <c r="AA15" s="31" t="n">
        <v>294</v>
      </c>
      <c r="AB15" s="31" t="n">
        <v>215</v>
      </c>
      <c r="AC15" s="31" t="n">
        <v>677</v>
      </c>
      <c r="AD15" s="31" t="n">
        <v>347</v>
      </c>
      <c r="AE15" s="31" t="n">
        <v>229</v>
      </c>
      <c r="AF15" s="29" t="n">
        <v>772</v>
      </c>
      <c r="AG15" s="31" t="n">
        <v>95</v>
      </c>
      <c r="AH15" s="31" t="n">
        <v>124</v>
      </c>
      <c r="AI15" s="31" t="n">
        <v>762</v>
      </c>
      <c r="AJ15" s="31" t="n">
        <v>392</v>
      </c>
      <c r="AK15" s="31" t="n">
        <v>1898</v>
      </c>
      <c r="AL15" s="31" t="n">
        <v>208</v>
      </c>
      <c r="AM15" s="31" t="n">
        <v>63</v>
      </c>
      <c r="AN15" s="31" t="n">
        <v>344</v>
      </c>
      <c r="AO15" s="31" t="n">
        <v>124</v>
      </c>
      <c r="AP15" s="31" t="n">
        <v>563</v>
      </c>
      <c r="AQ15" s="31" t="n">
        <v>182</v>
      </c>
      <c r="AR15" s="31" t="n">
        <v>113</v>
      </c>
      <c r="AS15" s="29" t="n">
        <v>48</v>
      </c>
      <c r="AT15" s="29" t="n">
        <v>65</v>
      </c>
      <c r="AU15" s="29" t="n">
        <v>59</v>
      </c>
      <c r="AV15" s="29" t="n">
        <v>74</v>
      </c>
      <c r="AW15" s="29" t="n">
        <v>48</v>
      </c>
      <c r="AX15" s="29" t="n">
        <v>58</v>
      </c>
      <c r="AY15" s="29" t="n">
        <v>60</v>
      </c>
    </row>
    <row r="16" customFormat="false" ht="15" hidden="false" customHeight="false" outlineLevel="0" collapsed="false">
      <c r="A16" s="12" t="s">
        <v>203</v>
      </c>
      <c r="B16" s="31" t="n">
        <v>17</v>
      </c>
      <c r="C16" s="31" t="n">
        <v>24231</v>
      </c>
      <c r="D16" s="31" t="n">
        <v>5495</v>
      </c>
      <c r="E16" s="31" t="n">
        <v>3508</v>
      </c>
      <c r="F16" s="31" t="n">
        <v>1987</v>
      </c>
      <c r="G16" s="31" t="n">
        <v>2093</v>
      </c>
      <c r="H16" s="31" t="n">
        <v>1694</v>
      </c>
      <c r="I16" s="31" t="n">
        <v>660</v>
      </c>
      <c r="J16" s="31" t="n">
        <v>529</v>
      </c>
      <c r="K16" s="31" t="n">
        <v>93</v>
      </c>
      <c r="L16" s="31" t="n">
        <v>73</v>
      </c>
      <c r="M16" s="31" t="n">
        <v>656</v>
      </c>
      <c r="N16" s="31" t="n">
        <v>1078</v>
      </c>
      <c r="O16" s="31" t="n">
        <v>880</v>
      </c>
      <c r="P16" s="31" t="n">
        <v>860</v>
      </c>
      <c r="Q16" s="31" t="n">
        <v>229</v>
      </c>
      <c r="R16" s="31" t="n">
        <v>1309</v>
      </c>
      <c r="S16" s="31" t="n">
        <v>428</v>
      </c>
      <c r="T16" s="31" t="n">
        <v>881</v>
      </c>
      <c r="U16" s="31" t="n">
        <v>118</v>
      </c>
      <c r="V16" s="31" t="n">
        <v>204</v>
      </c>
      <c r="W16" s="31" t="n">
        <v>1490</v>
      </c>
      <c r="X16" s="31" t="n">
        <v>294</v>
      </c>
      <c r="Y16" s="31" t="n">
        <v>118</v>
      </c>
      <c r="Z16" s="31" t="n">
        <v>168</v>
      </c>
      <c r="AA16" s="31" t="n">
        <v>279</v>
      </c>
      <c r="AB16" s="31" t="n">
        <v>213</v>
      </c>
      <c r="AC16" s="31" t="n">
        <v>731</v>
      </c>
      <c r="AD16" s="31" t="n">
        <v>276</v>
      </c>
      <c r="AE16" s="31" t="n">
        <v>252</v>
      </c>
      <c r="AF16" s="29" t="n">
        <v>685</v>
      </c>
      <c r="AG16" s="31" t="n">
        <v>48</v>
      </c>
      <c r="AH16" s="31" t="n">
        <v>137</v>
      </c>
      <c r="AI16" s="31" t="n">
        <v>844</v>
      </c>
      <c r="AJ16" s="31" t="n">
        <v>302</v>
      </c>
      <c r="AK16" s="31" t="n">
        <v>1890</v>
      </c>
      <c r="AL16" s="31" t="n">
        <v>256</v>
      </c>
      <c r="AM16" s="31" t="n">
        <v>54</v>
      </c>
      <c r="AN16" s="31" t="n">
        <v>267</v>
      </c>
      <c r="AO16" s="31" t="n">
        <v>109</v>
      </c>
      <c r="AP16" s="31" t="n">
        <v>545</v>
      </c>
      <c r="AQ16" s="31" t="n">
        <v>226</v>
      </c>
      <c r="AR16" s="31" t="n">
        <v>77</v>
      </c>
      <c r="AS16" s="29" t="n">
        <v>46</v>
      </c>
      <c r="AT16" s="29" t="n">
        <v>67</v>
      </c>
      <c r="AU16" s="29" t="n">
        <v>60</v>
      </c>
      <c r="AV16" s="29" t="n">
        <v>78</v>
      </c>
      <c r="AW16" s="29" t="n">
        <v>43</v>
      </c>
      <c r="AX16" s="29" t="n">
        <v>56</v>
      </c>
      <c r="AY16" s="29" t="n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C5"/>
    <pageSetUpPr fitToPage="false"/>
  </sheetPr>
  <dimension ref="A1:B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8" t="s">
        <v>207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">
        <v>194</v>
      </c>
      <c r="B5" s="34" t="n">
        <v>1</v>
      </c>
      <c r="C5" s="12" t="s">
        <v>211</v>
      </c>
      <c r="D5" s="12" t="s">
        <v>212</v>
      </c>
      <c r="E5" s="34" t="n">
        <v>298</v>
      </c>
      <c r="F5" s="34" t="n">
        <v>184</v>
      </c>
      <c r="G5" s="34" t="n">
        <v>114</v>
      </c>
      <c r="H5" s="34" t="n">
        <v>122</v>
      </c>
      <c r="I5" s="34" t="n">
        <v>63</v>
      </c>
      <c r="J5" s="34" t="n">
        <v>19</v>
      </c>
      <c r="K5" s="34" t="n">
        <v>44</v>
      </c>
      <c r="L5" s="34" t="n">
        <v>67</v>
      </c>
      <c r="M5" s="34" t="n">
        <v>67</v>
      </c>
      <c r="N5" s="34" t="n">
        <v>7</v>
      </c>
      <c r="O5" s="34" t="n">
        <v>77</v>
      </c>
      <c r="P5" s="34" t="n">
        <v>12</v>
      </c>
      <c r="Q5" s="34" t="n">
        <v>65</v>
      </c>
      <c r="R5" s="34" t="n">
        <v>15</v>
      </c>
      <c r="S5" s="34" t="n">
        <v>8</v>
      </c>
      <c r="T5" s="34" t="n">
        <v>1191</v>
      </c>
      <c r="U5" s="34" t="n">
        <v>57</v>
      </c>
      <c r="V5" s="34" t="n">
        <v>9</v>
      </c>
      <c r="W5" s="34" t="n">
        <v>45</v>
      </c>
      <c r="X5" s="34" t="n">
        <v>8</v>
      </c>
      <c r="Y5" s="34" t="n">
        <v>20</v>
      </c>
      <c r="Z5" s="34" t="n">
        <v>17</v>
      </c>
      <c r="AA5" s="34" t="n">
        <v>37</v>
      </c>
      <c r="AB5" s="34" t="n">
        <v>29</v>
      </c>
      <c r="AC5" s="34" t="n">
        <v>16</v>
      </c>
      <c r="AD5" s="34" t="n">
        <v>8</v>
      </c>
      <c r="AE5" s="34" t="n">
        <v>28</v>
      </c>
      <c r="AF5" s="34" t="n">
        <v>82</v>
      </c>
      <c r="AG5" s="34" t="n">
        <v>7</v>
      </c>
      <c r="AH5" s="34" t="n">
        <v>48</v>
      </c>
      <c r="AI5" s="34" t="n">
        <v>27</v>
      </c>
      <c r="AJ5" s="34" t="n">
        <v>79</v>
      </c>
      <c r="AK5" s="34" t="n">
        <v>17</v>
      </c>
      <c r="AL5" s="34" t="n">
        <v>14</v>
      </c>
      <c r="AM5" s="34" t="n">
        <v>2</v>
      </c>
      <c r="AN5" s="34" t="n">
        <v>10</v>
      </c>
      <c r="AO5" s="34" t="n">
        <v>4</v>
      </c>
      <c r="AP5" s="34" t="n">
        <v>46</v>
      </c>
      <c r="AQ5" s="34" t="n">
        <v>37</v>
      </c>
      <c r="AR5" s="34" t="n">
        <v>4</v>
      </c>
      <c r="AS5" s="34" t="n">
        <v>34</v>
      </c>
      <c r="AT5" s="34" t="n">
        <v>8</v>
      </c>
      <c r="AU5" s="34" t="n">
        <v>5</v>
      </c>
      <c r="AV5" s="34" t="n">
        <v>4</v>
      </c>
      <c r="AW5" s="34" t="n">
        <v>0</v>
      </c>
      <c r="AX5" s="34" t="n">
        <v>24</v>
      </c>
      <c r="AY5" s="34" t="n">
        <v>9</v>
      </c>
      <c r="AZ5" s="34" t="n">
        <v>55</v>
      </c>
      <c r="BA5" s="34" t="n">
        <v>60</v>
      </c>
      <c r="BB5" s="34" t="n">
        <v>35</v>
      </c>
      <c r="BC5" s="34" t="n">
        <v>52</v>
      </c>
      <c r="BD5" s="34" t="n">
        <v>74</v>
      </c>
      <c r="BE5" s="34" t="n">
        <v>56</v>
      </c>
      <c r="BF5" s="34" t="n">
        <v>62</v>
      </c>
      <c r="BG5" s="34" t="n">
        <v>75</v>
      </c>
      <c r="BH5" s="34" t="n">
        <v>95</v>
      </c>
      <c r="BI5" s="34" t="n">
        <v>85</v>
      </c>
      <c r="BJ5" s="34" t="n">
        <v>180</v>
      </c>
      <c r="BK5" s="34" t="n">
        <v>25</v>
      </c>
      <c r="BL5" s="34" t="n">
        <v>18</v>
      </c>
    </row>
    <row r="6" customFormat="false" ht="15" hidden="false" customHeight="false" outlineLevel="0" collapsed="false">
      <c r="A6" s="12" t="s">
        <v>201</v>
      </c>
      <c r="B6" s="34" t="n">
        <v>2</v>
      </c>
      <c r="C6" s="12" t="s">
        <v>211</v>
      </c>
      <c r="D6" s="12" t="s">
        <v>213</v>
      </c>
      <c r="E6" s="34" t="n">
        <v>271</v>
      </c>
      <c r="F6" s="34" t="n">
        <v>182</v>
      </c>
      <c r="G6" s="34" t="n">
        <v>89</v>
      </c>
      <c r="H6" s="34" t="n">
        <v>113</v>
      </c>
      <c r="I6" s="34" t="n">
        <v>53</v>
      </c>
      <c r="J6" s="34" t="n">
        <v>15</v>
      </c>
      <c r="K6" s="34" t="n">
        <v>38</v>
      </c>
      <c r="L6" s="34" t="n">
        <v>50</v>
      </c>
      <c r="M6" s="34" t="n">
        <v>43</v>
      </c>
      <c r="N6" s="34" t="n">
        <v>5</v>
      </c>
      <c r="O6" s="34" t="n">
        <v>86</v>
      </c>
      <c r="P6" s="34" t="n">
        <v>19</v>
      </c>
      <c r="Q6" s="34" t="n">
        <v>67</v>
      </c>
      <c r="R6" s="34" t="n">
        <v>12</v>
      </c>
      <c r="S6" s="34" t="n">
        <v>15</v>
      </c>
      <c r="T6" s="34" t="n">
        <v>1284</v>
      </c>
      <c r="U6" s="34" t="n">
        <v>49</v>
      </c>
      <c r="V6" s="34" t="n">
        <v>10</v>
      </c>
      <c r="W6" s="34" t="n">
        <v>36</v>
      </c>
      <c r="X6" s="34" t="n">
        <v>10</v>
      </c>
      <c r="Y6" s="34" t="n">
        <v>20</v>
      </c>
      <c r="Z6" s="34" t="n">
        <v>6</v>
      </c>
      <c r="AA6" s="34" t="n">
        <v>42</v>
      </c>
      <c r="AB6" s="34" t="n">
        <v>20</v>
      </c>
      <c r="AC6" s="34" t="n">
        <v>16</v>
      </c>
      <c r="AD6" s="34" t="n">
        <v>7</v>
      </c>
      <c r="AE6" s="34" t="n">
        <v>19</v>
      </c>
      <c r="AF6" s="34" t="n">
        <v>56</v>
      </c>
      <c r="AG6" s="34" t="n">
        <v>3</v>
      </c>
      <c r="AH6" s="34" t="n">
        <v>34</v>
      </c>
      <c r="AI6" s="34" t="n">
        <v>19</v>
      </c>
      <c r="AJ6" s="34" t="n">
        <v>81</v>
      </c>
      <c r="AK6" s="34" t="n">
        <v>27</v>
      </c>
      <c r="AL6" s="34" t="n">
        <v>9</v>
      </c>
      <c r="AM6" s="34" t="n">
        <v>3</v>
      </c>
      <c r="AN6" s="34" t="n">
        <v>6</v>
      </c>
      <c r="AO6" s="34" t="n">
        <v>6</v>
      </c>
      <c r="AP6" s="34" t="n">
        <v>42</v>
      </c>
      <c r="AQ6" s="34" t="n">
        <v>36</v>
      </c>
      <c r="AR6" s="34" t="n">
        <v>11</v>
      </c>
      <c r="AS6" s="34" t="n">
        <v>24</v>
      </c>
      <c r="AT6" s="34" t="n">
        <v>7</v>
      </c>
      <c r="AU6" s="34" t="n">
        <v>11</v>
      </c>
      <c r="AV6" s="34" t="n">
        <v>8</v>
      </c>
      <c r="AW6" s="34" t="n">
        <v>3</v>
      </c>
      <c r="AX6" s="34" t="n">
        <v>52</v>
      </c>
      <c r="AY6" s="34" t="n">
        <v>22</v>
      </c>
      <c r="AZ6" s="34" t="n">
        <v>50</v>
      </c>
      <c r="BA6" s="34" t="n">
        <v>70</v>
      </c>
      <c r="BB6" s="34" t="n">
        <v>69</v>
      </c>
      <c r="BC6" s="34" t="n">
        <v>65</v>
      </c>
      <c r="BD6" s="34" t="n">
        <v>79</v>
      </c>
      <c r="BE6" s="34" t="n">
        <v>64</v>
      </c>
      <c r="BF6" s="34" t="n">
        <v>80</v>
      </c>
      <c r="BG6" s="34" t="n">
        <v>100</v>
      </c>
      <c r="BH6" s="34" t="n">
        <v>119</v>
      </c>
      <c r="BI6" s="34" t="n">
        <v>71</v>
      </c>
      <c r="BJ6" s="34" t="n">
        <v>190</v>
      </c>
      <c r="BK6" s="34" t="n">
        <v>23</v>
      </c>
      <c r="BL6" s="34" t="n">
        <v>16</v>
      </c>
    </row>
    <row r="7" customFormat="false" ht="15" hidden="false" customHeight="false" outlineLevel="0" collapsed="false">
      <c r="A7" s="12" t="s">
        <v>200</v>
      </c>
      <c r="B7" s="34" t="n">
        <v>3</v>
      </c>
      <c r="C7" s="12" t="s">
        <v>211</v>
      </c>
      <c r="D7" s="12" t="s">
        <v>213</v>
      </c>
      <c r="E7" s="34" t="n">
        <v>344</v>
      </c>
      <c r="F7" s="34" t="n">
        <v>230</v>
      </c>
      <c r="G7" s="34" t="n">
        <v>114</v>
      </c>
      <c r="H7" s="34" t="n">
        <v>158</v>
      </c>
      <c r="I7" s="34" t="n">
        <v>91</v>
      </c>
      <c r="J7" s="34" t="n">
        <v>34</v>
      </c>
      <c r="K7" s="34" t="n">
        <v>57</v>
      </c>
      <c r="L7" s="34" t="n">
        <v>69</v>
      </c>
      <c r="M7" s="34" t="n">
        <v>58</v>
      </c>
      <c r="N7" s="34" t="n">
        <v>2</v>
      </c>
      <c r="O7" s="34" t="n">
        <v>108</v>
      </c>
      <c r="P7" s="34" t="n">
        <v>14</v>
      </c>
      <c r="Q7" s="34" t="n">
        <v>94</v>
      </c>
      <c r="R7" s="34" t="n">
        <v>21</v>
      </c>
      <c r="S7" s="34" t="n">
        <v>11</v>
      </c>
      <c r="T7" s="34" t="n">
        <v>1698</v>
      </c>
      <c r="U7" s="34" t="n">
        <v>77</v>
      </c>
      <c r="V7" s="34" t="n">
        <v>18</v>
      </c>
      <c r="W7" s="34" t="n">
        <v>53</v>
      </c>
      <c r="X7" s="34" t="n">
        <v>7</v>
      </c>
      <c r="Y7" s="34" t="n">
        <v>27</v>
      </c>
      <c r="Z7" s="34" t="n">
        <v>19</v>
      </c>
      <c r="AA7" s="34" t="n">
        <v>53</v>
      </c>
      <c r="AB7" s="34" t="n">
        <v>44</v>
      </c>
      <c r="AC7" s="34" t="n">
        <v>16</v>
      </c>
      <c r="AD7" s="34" t="n">
        <v>12</v>
      </c>
      <c r="AE7" s="34" t="n">
        <v>40</v>
      </c>
      <c r="AF7" s="34" t="n">
        <v>80</v>
      </c>
      <c r="AG7" s="34" t="n">
        <v>4</v>
      </c>
      <c r="AH7" s="34" t="n">
        <v>48</v>
      </c>
      <c r="AI7" s="34" t="n">
        <v>28</v>
      </c>
      <c r="AJ7" s="34" t="n">
        <v>131</v>
      </c>
      <c r="AK7" s="34" t="n">
        <v>63</v>
      </c>
      <c r="AL7" s="34" t="n">
        <v>15</v>
      </c>
      <c r="AM7" s="34" t="n">
        <v>0</v>
      </c>
      <c r="AN7" s="34" t="n">
        <v>15</v>
      </c>
      <c r="AO7" s="34" t="n">
        <v>12</v>
      </c>
      <c r="AP7" s="34" t="n">
        <v>53</v>
      </c>
      <c r="AQ7" s="34" t="n">
        <v>49</v>
      </c>
      <c r="AR7" s="34" t="n">
        <v>19</v>
      </c>
      <c r="AS7" s="34" t="n">
        <v>27</v>
      </c>
      <c r="AT7" s="34" t="n">
        <v>7</v>
      </c>
      <c r="AU7" s="34" t="n">
        <v>8</v>
      </c>
      <c r="AV7" s="34" t="n">
        <v>10</v>
      </c>
      <c r="AW7" s="34" t="n">
        <v>1</v>
      </c>
      <c r="AX7" s="34" t="n">
        <v>35</v>
      </c>
      <c r="AY7" s="34" t="n">
        <v>19</v>
      </c>
      <c r="AZ7" s="34" t="n">
        <v>42</v>
      </c>
      <c r="BA7" s="34" t="n">
        <v>67</v>
      </c>
      <c r="BB7" s="34" t="n">
        <v>53</v>
      </c>
      <c r="BC7" s="34" t="n">
        <v>66</v>
      </c>
      <c r="BD7" s="34" t="n">
        <v>68</v>
      </c>
      <c r="BE7" s="34" t="n">
        <v>57</v>
      </c>
      <c r="BF7" s="34" t="n">
        <v>75</v>
      </c>
      <c r="BG7" s="34" t="n">
        <v>92</v>
      </c>
      <c r="BH7" s="34" t="n">
        <v>152</v>
      </c>
      <c r="BI7" s="34" t="n">
        <v>78</v>
      </c>
      <c r="BJ7" s="34" t="n">
        <v>230</v>
      </c>
      <c r="BK7" s="34" t="n">
        <v>30</v>
      </c>
      <c r="BL7" s="34" t="n">
        <v>33</v>
      </c>
    </row>
    <row r="8" customFormat="false" ht="15" hidden="false" customHeight="false" outlineLevel="0" collapsed="false">
      <c r="A8" s="12" t="s">
        <v>198</v>
      </c>
      <c r="B8" s="34" t="n">
        <v>4</v>
      </c>
      <c r="C8" s="12" t="s">
        <v>211</v>
      </c>
      <c r="D8" s="12" t="s">
        <v>212</v>
      </c>
      <c r="E8" s="34" t="n">
        <v>333</v>
      </c>
      <c r="F8" s="34" t="n">
        <v>200</v>
      </c>
      <c r="G8" s="34" t="n">
        <v>133</v>
      </c>
      <c r="H8" s="34" t="n">
        <v>132</v>
      </c>
      <c r="I8" s="34" t="n">
        <v>88</v>
      </c>
      <c r="J8" s="34" t="n">
        <v>27</v>
      </c>
      <c r="K8" s="34" t="n">
        <v>61</v>
      </c>
      <c r="L8" s="34" t="n">
        <v>79</v>
      </c>
      <c r="M8" s="34" t="n">
        <v>46</v>
      </c>
      <c r="N8" s="34" t="n">
        <v>8</v>
      </c>
      <c r="O8" s="34" t="n">
        <v>86</v>
      </c>
      <c r="P8" s="34" t="n">
        <v>14</v>
      </c>
      <c r="Q8" s="34" t="n">
        <v>72</v>
      </c>
      <c r="R8" s="34" t="n">
        <v>12</v>
      </c>
      <c r="S8" s="34" t="n">
        <v>12</v>
      </c>
      <c r="T8" s="34" t="n">
        <v>1430</v>
      </c>
      <c r="U8" s="34" t="n">
        <v>55</v>
      </c>
      <c r="V8" s="34" t="n">
        <v>6</v>
      </c>
      <c r="W8" s="34" t="n">
        <v>34</v>
      </c>
      <c r="X8" s="34" t="n">
        <v>7</v>
      </c>
      <c r="Y8" s="34" t="n">
        <v>17</v>
      </c>
      <c r="Z8" s="34" t="n">
        <v>10</v>
      </c>
      <c r="AA8" s="34" t="n">
        <v>49</v>
      </c>
      <c r="AB8" s="34" t="n">
        <v>27</v>
      </c>
      <c r="AC8" s="34" t="n">
        <v>23</v>
      </c>
      <c r="AD8" s="34" t="n">
        <v>5</v>
      </c>
      <c r="AE8" s="34" t="n">
        <v>33</v>
      </c>
      <c r="AF8" s="34" t="n">
        <v>70</v>
      </c>
      <c r="AG8" s="34" t="n">
        <v>5</v>
      </c>
      <c r="AH8" s="34" t="n">
        <v>34</v>
      </c>
      <c r="AI8" s="34" t="n">
        <v>31</v>
      </c>
      <c r="AJ8" s="34" t="n">
        <v>99</v>
      </c>
      <c r="AK8" s="34" t="n">
        <v>20</v>
      </c>
      <c r="AL8" s="34" t="n">
        <v>15</v>
      </c>
      <c r="AM8" s="34" t="n">
        <v>9</v>
      </c>
      <c r="AN8" s="34" t="n">
        <v>6</v>
      </c>
      <c r="AO8" s="34" t="n">
        <v>0</v>
      </c>
      <c r="AP8" s="34" t="n">
        <v>55</v>
      </c>
      <c r="AQ8" s="34" t="n">
        <v>50</v>
      </c>
      <c r="AR8" s="34" t="n">
        <v>8</v>
      </c>
      <c r="AS8" s="34" t="n">
        <v>40</v>
      </c>
      <c r="AT8" s="34" t="n">
        <v>7</v>
      </c>
      <c r="AU8" s="34" t="n">
        <v>8</v>
      </c>
      <c r="AV8" s="34" t="n">
        <v>7</v>
      </c>
      <c r="AW8" s="34" t="n">
        <v>3</v>
      </c>
      <c r="AX8" s="34" t="n">
        <v>36</v>
      </c>
      <c r="AY8" s="34" t="n">
        <v>18</v>
      </c>
      <c r="AZ8" s="34" t="n">
        <v>44</v>
      </c>
      <c r="BA8" s="34" t="n">
        <v>65</v>
      </c>
      <c r="BB8" s="34" t="n">
        <v>35</v>
      </c>
      <c r="BC8" s="34" t="n">
        <v>57</v>
      </c>
      <c r="BD8" s="34" t="n">
        <v>75</v>
      </c>
      <c r="BE8" s="34" t="n">
        <v>59</v>
      </c>
      <c r="BF8" s="34" t="n">
        <v>59</v>
      </c>
      <c r="BG8" s="34" t="n">
        <v>80</v>
      </c>
      <c r="BH8" s="34" t="n">
        <v>115</v>
      </c>
      <c r="BI8" s="34" t="n">
        <v>100</v>
      </c>
      <c r="BJ8" s="34" t="n">
        <v>215</v>
      </c>
      <c r="BK8" s="34" t="n">
        <v>20</v>
      </c>
      <c r="BL8" s="34" t="n">
        <v>16</v>
      </c>
    </row>
    <row r="9" customFormat="false" ht="15" hidden="false" customHeight="false" outlineLevel="0" collapsed="false">
      <c r="A9" s="12" t="s">
        <v>199</v>
      </c>
      <c r="B9" s="34" t="n">
        <v>5</v>
      </c>
      <c r="C9" s="12" t="s">
        <v>211</v>
      </c>
      <c r="D9" s="12" t="s">
        <v>212</v>
      </c>
      <c r="E9" s="34" t="n">
        <v>353</v>
      </c>
      <c r="F9" s="34" t="n">
        <v>240</v>
      </c>
      <c r="G9" s="34" t="n">
        <v>113</v>
      </c>
      <c r="H9" s="34" t="n">
        <v>114</v>
      </c>
      <c r="I9" s="34" t="n">
        <v>73</v>
      </c>
      <c r="J9" s="34" t="n">
        <v>24</v>
      </c>
      <c r="K9" s="34" t="n">
        <v>49</v>
      </c>
      <c r="L9" s="34" t="n">
        <v>62</v>
      </c>
      <c r="M9" s="34" t="n">
        <v>42</v>
      </c>
      <c r="N9" s="34" t="n">
        <v>11</v>
      </c>
      <c r="O9" s="34" t="n">
        <v>138</v>
      </c>
      <c r="P9" s="34" t="n">
        <v>16</v>
      </c>
      <c r="Q9" s="34" t="n">
        <v>122</v>
      </c>
      <c r="R9" s="34" t="n">
        <v>17</v>
      </c>
      <c r="S9" s="34" t="n">
        <v>15</v>
      </c>
      <c r="T9" s="34" t="n">
        <v>1516</v>
      </c>
      <c r="U9" s="34" t="n">
        <v>45</v>
      </c>
      <c r="V9" s="34" t="n">
        <v>4</v>
      </c>
      <c r="W9" s="34" t="n">
        <v>35</v>
      </c>
      <c r="X9" s="34" t="n">
        <v>13</v>
      </c>
      <c r="Y9" s="34" t="n">
        <v>11</v>
      </c>
      <c r="Z9" s="34" t="n">
        <v>11</v>
      </c>
      <c r="AA9" s="34" t="n">
        <v>42</v>
      </c>
      <c r="AB9" s="34" t="n">
        <v>33</v>
      </c>
      <c r="AC9" s="34" t="n">
        <v>18</v>
      </c>
      <c r="AD9" s="34" t="n">
        <v>14</v>
      </c>
      <c r="AE9" s="34" t="n">
        <v>27</v>
      </c>
      <c r="AF9" s="34" t="n">
        <v>71</v>
      </c>
      <c r="AG9" s="34" t="n">
        <v>4</v>
      </c>
      <c r="AH9" s="34" t="n">
        <v>48</v>
      </c>
      <c r="AI9" s="34" t="n">
        <v>19</v>
      </c>
      <c r="AJ9" s="34" t="n">
        <v>69</v>
      </c>
      <c r="AK9" s="34" t="n">
        <v>23</v>
      </c>
      <c r="AL9" s="34" t="n">
        <v>10</v>
      </c>
      <c r="AM9" s="34" t="n">
        <v>5</v>
      </c>
      <c r="AN9" s="34" t="n">
        <v>11</v>
      </c>
      <c r="AO9" s="34" t="n">
        <v>4</v>
      </c>
      <c r="AP9" s="34" t="n">
        <v>31</v>
      </c>
      <c r="AQ9" s="34" t="n">
        <v>28</v>
      </c>
      <c r="AR9" s="34" t="n">
        <v>3</v>
      </c>
      <c r="AS9" s="34" t="n">
        <v>22</v>
      </c>
      <c r="AT9" s="34" t="n">
        <v>6</v>
      </c>
      <c r="AU9" s="34" t="n">
        <v>11</v>
      </c>
      <c r="AV9" s="34" t="n">
        <v>11</v>
      </c>
      <c r="AW9" s="34" t="n">
        <v>2</v>
      </c>
      <c r="AX9" s="34" t="n">
        <v>57</v>
      </c>
      <c r="AY9" s="34" t="n">
        <v>24</v>
      </c>
      <c r="AZ9" s="34" t="n">
        <v>45</v>
      </c>
      <c r="BA9" s="34" t="n">
        <v>71</v>
      </c>
      <c r="BB9" s="34" t="n">
        <v>62</v>
      </c>
      <c r="BC9" s="34" t="n">
        <v>68</v>
      </c>
      <c r="BD9" s="34" t="n">
        <v>77</v>
      </c>
      <c r="BE9" s="34" t="n">
        <v>60</v>
      </c>
      <c r="BF9" s="34" t="n">
        <v>64</v>
      </c>
      <c r="BG9" s="34" t="n">
        <v>93</v>
      </c>
      <c r="BH9" s="34" t="n">
        <v>163</v>
      </c>
      <c r="BI9" s="34" t="n">
        <v>88</v>
      </c>
      <c r="BJ9" s="34" t="n">
        <v>251</v>
      </c>
      <c r="BK9" s="34" t="n">
        <v>21</v>
      </c>
      <c r="BL9" s="34" t="n">
        <v>21</v>
      </c>
    </row>
    <row r="10" customFormat="false" ht="15" hidden="false" customHeight="false" outlineLevel="0" collapsed="false">
      <c r="A10" s="12" t="s">
        <v>186</v>
      </c>
      <c r="B10" s="34" t="n">
        <v>6</v>
      </c>
      <c r="C10" s="12" t="s">
        <v>211</v>
      </c>
      <c r="D10" s="12" t="s">
        <v>212</v>
      </c>
      <c r="E10" s="34" t="n">
        <v>344</v>
      </c>
      <c r="F10" s="34" t="n">
        <v>234</v>
      </c>
      <c r="G10" s="34" t="n">
        <v>110</v>
      </c>
      <c r="H10" s="34" t="n">
        <v>133</v>
      </c>
      <c r="I10" s="34" t="n">
        <v>79</v>
      </c>
      <c r="J10" s="34" t="n">
        <v>29</v>
      </c>
      <c r="K10" s="34" t="n">
        <v>50</v>
      </c>
      <c r="L10" s="34" t="n">
        <v>65</v>
      </c>
      <c r="M10" s="34" t="n">
        <v>36</v>
      </c>
      <c r="N10" s="34" t="n">
        <v>2</v>
      </c>
      <c r="O10" s="34" t="n">
        <v>126</v>
      </c>
      <c r="P10" s="34" t="n">
        <v>20</v>
      </c>
      <c r="Q10" s="34" t="n">
        <v>106</v>
      </c>
      <c r="R10" s="34" t="n">
        <v>19</v>
      </c>
      <c r="S10" s="34" t="n">
        <v>14</v>
      </c>
      <c r="T10" s="34" t="n">
        <v>1585</v>
      </c>
      <c r="U10" s="34" t="n">
        <v>44</v>
      </c>
      <c r="V10" s="34" t="n">
        <v>6</v>
      </c>
      <c r="W10" s="34" t="n">
        <v>40</v>
      </c>
      <c r="X10" s="34" t="n">
        <v>6</v>
      </c>
      <c r="Y10" s="34" t="n">
        <v>22</v>
      </c>
      <c r="Z10" s="34" t="n">
        <v>12</v>
      </c>
      <c r="AA10" s="34" t="n">
        <v>42</v>
      </c>
      <c r="AB10" s="34" t="n">
        <v>27</v>
      </c>
      <c r="AC10" s="34" t="n">
        <v>18</v>
      </c>
      <c r="AD10" s="34" t="n">
        <v>7</v>
      </c>
      <c r="AE10" s="34" t="n">
        <v>28</v>
      </c>
      <c r="AF10" s="34" t="n">
        <v>64</v>
      </c>
      <c r="AG10" s="34" t="n">
        <v>5</v>
      </c>
      <c r="AH10" s="34" t="n">
        <v>43</v>
      </c>
      <c r="AI10" s="34" t="n">
        <v>16</v>
      </c>
      <c r="AJ10" s="34" t="n">
        <v>88</v>
      </c>
      <c r="AK10" s="34" t="n">
        <v>18</v>
      </c>
      <c r="AL10" s="34" t="n">
        <v>4</v>
      </c>
      <c r="AM10" s="34" t="n">
        <v>6</v>
      </c>
      <c r="AN10" s="34" t="n">
        <v>15</v>
      </c>
      <c r="AO10" s="34" t="n">
        <v>1</v>
      </c>
      <c r="AP10" s="34" t="n">
        <v>60</v>
      </c>
      <c r="AQ10" s="34" t="n">
        <v>39</v>
      </c>
      <c r="AR10" s="34" t="n">
        <v>1</v>
      </c>
      <c r="AS10" s="34" t="n">
        <v>36</v>
      </c>
      <c r="AT10" s="34" t="n">
        <v>23</v>
      </c>
      <c r="AU10" s="34" t="n">
        <v>8</v>
      </c>
      <c r="AV10" s="34" t="n">
        <v>7</v>
      </c>
      <c r="AW10" s="34" t="n">
        <v>5</v>
      </c>
      <c r="AX10" s="34" t="n">
        <v>47</v>
      </c>
      <c r="AY10" s="34" t="n">
        <v>20</v>
      </c>
      <c r="AZ10" s="34" t="n">
        <v>40</v>
      </c>
      <c r="BA10" s="34" t="n">
        <v>68</v>
      </c>
      <c r="BB10" s="34" t="n">
        <v>45</v>
      </c>
      <c r="BC10" s="34" t="n">
        <v>62</v>
      </c>
      <c r="BD10" s="34" t="n">
        <v>82</v>
      </c>
      <c r="BE10" s="34" t="n">
        <v>53</v>
      </c>
      <c r="BF10" s="34" t="n">
        <v>56</v>
      </c>
      <c r="BG10" s="34" t="n">
        <v>71</v>
      </c>
      <c r="BH10" s="34" t="n">
        <v>144</v>
      </c>
      <c r="BI10" s="34" t="n">
        <v>91</v>
      </c>
      <c r="BJ10" s="34" t="n">
        <v>235</v>
      </c>
      <c r="BK10" s="34" t="n">
        <v>21</v>
      </c>
      <c r="BL10" s="34" t="n">
        <v>15</v>
      </c>
    </row>
    <row r="11" customFormat="false" ht="15" hidden="false" customHeight="false" outlineLevel="0" collapsed="false">
      <c r="A11" s="12" t="s">
        <v>203</v>
      </c>
      <c r="B11" s="34" t="n">
        <v>7</v>
      </c>
      <c r="C11" s="12" t="s">
        <v>211</v>
      </c>
      <c r="D11" s="12" t="s">
        <v>213</v>
      </c>
      <c r="E11" s="34" t="n">
        <v>425</v>
      </c>
      <c r="F11" s="34" t="n">
        <v>273</v>
      </c>
      <c r="G11" s="34" t="n">
        <v>152</v>
      </c>
      <c r="H11" s="34" t="n">
        <v>137</v>
      </c>
      <c r="I11" s="34" t="n">
        <v>87</v>
      </c>
      <c r="J11" s="34" t="n">
        <v>24</v>
      </c>
      <c r="K11" s="34" t="n">
        <v>63</v>
      </c>
      <c r="L11" s="34" t="n">
        <v>67</v>
      </c>
      <c r="M11" s="34" t="n">
        <v>50</v>
      </c>
      <c r="N11" s="34" t="n">
        <v>9</v>
      </c>
      <c r="O11" s="34" t="n">
        <v>161</v>
      </c>
      <c r="P11" s="34" t="n">
        <v>19</v>
      </c>
      <c r="Q11" s="34" t="n">
        <v>142</v>
      </c>
      <c r="R11" s="34" t="n">
        <v>19</v>
      </c>
      <c r="S11" s="34" t="n">
        <v>29</v>
      </c>
      <c r="T11" s="34" t="n">
        <v>2088</v>
      </c>
      <c r="U11" s="34" t="n">
        <v>44</v>
      </c>
      <c r="V11" s="34" t="n">
        <v>8</v>
      </c>
      <c r="W11" s="34" t="n">
        <v>42</v>
      </c>
      <c r="X11" s="34" t="n">
        <v>10</v>
      </c>
      <c r="Y11" s="34" t="n">
        <v>18</v>
      </c>
      <c r="Z11" s="34" t="n">
        <v>14</v>
      </c>
      <c r="AA11" s="34" t="n">
        <v>63</v>
      </c>
      <c r="AB11" s="34" t="n">
        <v>28</v>
      </c>
      <c r="AC11" s="34" t="n">
        <v>16</v>
      </c>
      <c r="AD11" s="34" t="n">
        <v>6</v>
      </c>
      <c r="AE11" s="34" t="n">
        <v>29</v>
      </c>
      <c r="AF11" s="34" t="n">
        <v>59</v>
      </c>
      <c r="AG11" s="34" t="n">
        <v>4</v>
      </c>
      <c r="AH11" s="34" t="n">
        <v>23</v>
      </c>
      <c r="AI11" s="34" t="n">
        <v>32</v>
      </c>
      <c r="AJ11" s="34" t="n">
        <v>98</v>
      </c>
      <c r="AK11" s="34" t="n">
        <v>20</v>
      </c>
      <c r="AL11" s="34" t="n">
        <v>9</v>
      </c>
      <c r="AM11" s="34" t="n">
        <v>4</v>
      </c>
      <c r="AN11" s="34" t="n">
        <v>10</v>
      </c>
      <c r="AO11" s="34" t="n">
        <v>9</v>
      </c>
      <c r="AP11" s="34" t="n">
        <v>65</v>
      </c>
      <c r="AQ11" s="34" t="n">
        <v>47</v>
      </c>
      <c r="AR11" s="34" t="n">
        <v>18</v>
      </c>
      <c r="AS11" s="34" t="n">
        <v>34</v>
      </c>
      <c r="AT11" s="34" t="n">
        <v>13</v>
      </c>
      <c r="AU11" s="34" t="n">
        <v>20</v>
      </c>
      <c r="AV11" s="34" t="n">
        <v>14</v>
      </c>
      <c r="AW11" s="34" t="n">
        <v>1</v>
      </c>
      <c r="AX11" s="34" t="n">
        <v>55</v>
      </c>
      <c r="AY11" s="34" t="n">
        <v>35</v>
      </c>
      <c r="AZ11" s="34" t="n">
        <v>57</v>
      </c>
      <c r="BA11" s="34" t="n">
        <v>77</v>
      </c>
      <c r="BB11" s="34" t="n">
        <v>52</v>
      </c>
      <c r="BC11" s="34" t="n">
        <v>72</v>
      </c>
      <c r="BD11" s="34" t="n">
        <v>86</v>
      </c>
      <c r="BE11" s="34" t="n">
        <v>88</v>
      </c>
      <c r="BF11" s="34" t="n">
        <v>79</v>
      </c>
      <c r="BG11" s="34" t="n">
        <v>83</v>
      </c>
      <c r="BH11" s="34" t="n">
        <v>197</v>
      </c>
      <c r="BI11" s="34" t="n">
        <v>132</v>
      </c>
      <c r="BJ11" s="34" t="n">
        <v>329</v>
      </c>
      <c r="BK11" s="34" t="n">
        <v>37</v>
      </c>
      <c r="BL11" s="34" t="n">
        <v>22</v>
      </c>
    </row>
    <row r="12" customFormat="false" ht="15" hidden="false" customHeight="false" outlineLevel="0" collapsed="false">
      <c r="A12" s="12" t="s">
        <v>193</v>
      </c>
      <c r="B12" s="34" t="n">
        <v>8</v>
      </c>
      <c r="C12" s="12" t="s">
        <v>211</v>
      </c>
      <c r="D12" s="12" t="s">
        <v>213</v>
      </c>
      <c r="E12" s="34" t="n">
        <v>359</v>
      </c>
      <c r="F12" s="34" t="n">
        <v>219</v>
      </c>
      <c r="G12" s="34" t="n">
        <v>140</v>
      </c>
      <c r="H12" s="34" t="n">
        <v>107</v>
      </c>
      <c r="I12" s="34" t="n">
        <v>68</v>
      </c>
      <c r="J12" s="34" t="n">
        <v>31</v>
      </c>
      <c r="K12" s="34" t="n">
        <v>37</v>
      </c>
      <c r="L12" s="34" t="n">
        <v>61</v>
      </c>
      <c r="M12" s="34" t="n">
        <v>61</v>
      </c>
      <c r="N12" s="34" t="n">
        <v>10</v>
      </c>
      <c r="O12" s="34" t="n">
        <v>109</v>
      </c>
      <c r="P12" s="34" t="n">
        <v>10</v>
      </c>
      <c r="Q12" s="34" t="n">
        <v>99</v>
      </c>
      <c r="R12" s="34" t="n">
        <v>14</v>
      </c>
      <c r="S12" s="34" t="n">
        <v>18</v>
      </c>
      <c r="T12" s="34" t="n">
        <v>1657</v>
      </c>
      <c r="U12" s="34" t="n">
        <v>47</v>
      </c>
      <c r="V12" s="34" t="n">
        <v>7</v>
      </c>
      <c r="W12" s="34" t="n">
        <v>45</v>
      </c>
      <c r="X12" s="34" t="n">
        <v>11</v>
      </c>
      <c r="Y12" s="34" t="n">
        <v>20</v>
      </c>
      <c r="Z12" s="34" t="n">
        <v>14</v>
      </c>
      <c r="AA12" s="34" t="n">
        <v>48</v>
      </c>
      <c r="AB12" s="34" t="n">
        <v>37</v>
      </c>
      <c r="AC12" s="34" t="n">
        <v>16</v>
      </c>
      <c r="AD12" s="34" t="n">
        <v>7</v>
      </c>
      <c r="AE12" s="34" t="n">
        <v>72</v>
      </c>
      <c r="AF12" s="34" t="n">
        <v>63</v>
      </c>
      <c r="AG12" s="34" t="n">
        <v>4</v>
      </c>
      <c r="AH12" s="34" t="n">
        <v>41</v>
      </c>
      <c r="AI12" s="34" t="n">
        <v>18</v>
      </c>
      <c r="AJ12" s="34" t="n">
        <v>101</v>
      </c>
      <c r="AK12" s="34" t="n">
        <v>40</v>
      </c>
      <c r="AL12" s="34" t="n">
        <v>18</v>
      </c>
      <c r="AM12" s="34" t="n">
        <v>3</v>
      </c>
      <c r="AN12" s="34" t="n">
        <v>30</v>
      </c>
      <c r="AO12" s="34" t="n">
        <v>2</v>
      </c>
      <c r="AP12" s="34" t="n">
        <v>40</v>
      </c>
      <c r="AQ12" s="34" t="n">
        <v>33</v>
      </c>
      <c r="AR12" s="34" t="n">
        <v>4</v>
      </c>
      <c r="AS12" s="34" t="n">
        <v>28</v>
      </c>
      <c r="AT12" s="34" t="n">
        <v>8</v>
      </c>
      <c r="AU12" s="34" t="n">
        <v>10</v>
      </c>
      <c r="AV12" s="34" t="n">
        <v>14</v>
      </c>
      <c r="AW12" s="34" t="n">
        <v>5</v>
      </c>
      <c r="AX12" s="34" t="n">
        <v>60</v>
      </c>
      <c r="AY12" s="34" t="n">
        <v>29</v>
      </c>
      <c r="AZ12" s="34" t="n">
        <v>34</v>
      </c>
      <c r="BA12" s="34" t="n">
        <v>69</v>
      </c>
      <c r="BB12" s="34" t="n">
        <v>48</v>
      </c>
      <c r="BC12" s="34" t="n">
        <v>64</v>
      </c>
      <c r="BD12" s="34" t="n">
        <v>77</v>
      </c>
      <c r="BE12" s="34" t="n">
        <v>60</v>
      </c>
      <c r="BF12" s="34" t="n">
        <v>70</v>
      </c>
      <c r="BG12" s="34" t="n">
        <v>86</v>
      </c>
      <c r="BH12" s="34" t="n">
        <v>140</v>
      </c>
      <c r="BI12" s="34" t="n">
        <v>109</v>
      </c>
      <c r="BJ12" s="34" t="n">
        <v>249</v>
      </c>
      <c r="BK12" s="34" t="n">
        <v>27</v>
      </c>
      <c r="BL12" s="34" t="n">
        <v>26</v>
      </c>
    </row>
    <row r="13" customFormat="false" ht="15" hidden="false" customHeight="false" outlineLevel="0" collapsed="false">
      <c r="A13" s="12" t="s">
        <v>202</v>
      </c>
      <c r="B13" s="34" t="n">
        <v>9</v>
      </c>
      <c r="C13" s="12" t="s">
        <v>211</v>
      </c>
      <c r="D13" s="12" t="s">
        <v>213</v>
      </c>
      <c r="E13" s="34" t="n">
        <v>406</v>
      </c>
      <c r="F13" s="34" t="n">
        <v>262</v>
      </c>
      <c r="G13" s="34" t="n">
        <v>144</v>
      </c>
      <c r="H13" s="34" t="n">
        <v>103</v>
      </c>
      <c r="I13" s="34" t="n">
        <v>64</v>
      </c>
      <c r="J13" s="34" t="n">
        <v>30</v>
      </c>
      <c r="K13" s="34" t="n">
        <v>34</v>
      </c>
      <c r="L13" s="34" t="n">
        <v>76</v>
      </c>
      <c r="M13" s="34" t="n">
        <v>63</v>
      </c>
      <c r="N13" s="34" t="n">
        <v>11</v>
      </c>
      <c r="O13" s="34" t="n">
        <v>149</v>
      </c>
      <c r="P13" s="34" t="n">
        <v>8</v>
      </c>
      <c r="Q13" s="34" t="n">
        <v>141</v>
      </c>
      <c r="R13" s="34" t="n">
        <v>14</v>
      </c>
      <c r="S13" s="34" t="n">
        <v>21</v>
      </c>
      <c r="T13" s="34" t="n">
        <v>1932</v>
      </c>
      <c r="U13" s="34" t="n">
        <v>39</v>
      </c>
      <c r="V13" s="34" t="n">
        <v>11</v>
      </c>
      <c r="W13" s="34" t="n">
        <v>38</v>
      </c>
      <c r="X13" s="34" t="n">
        <v>16</v>
      </c>
      <c r="Y13" s="34" t="n">
        <v>15</v>
      </c>
      <c r="Z13" s="34" t="n">
        <v>7</v>
      </c>
      <c r="AA13" s="34" t="n">
        <v>61</v>
      </c>
      <c r="AB13" s="34" t="n">
        <v>24</v>
      </c>
      <c r="AC13" s="34" t="n">
        <v>21</v>
      </c>
      <c r="AD13" s="34" t="n">
        <v>4</v>
      </c>
      <c r="AE13" s="34" t="n">
        <v>42</v>
      </c>
      <c r="AF13" s="34" t="n">
        <v>68</v>
      </c>
      <c r="AG13" s="34" t="n">
        <v>2</v>
      </c>
      <c r="AH13" s="34" t="n">
        <v>30</v>
      </c>
      <c r="AI13" s="34" t="n">
        <v>36</v>
      </c>
      <c r="AJ13" s="34" t="n">
        <v>112</v>
      </c>
      <c r="AK13" s="34" t="n">
        <v>42</v>
      </c>
      <c r="AL13" s="34" t="n">
        <v>5</v>
      </c>
      <c r="AM13" s="34" t="n">
        <v>3</v>
      </c>
      <c r="AN13" s="34" t="n">
        <v>21</v>
      </c>
      <c r="AO13" s="34" t="n">
        <v>9</v>
      </c>
      <c r="AP13" s="34" t="n">
        <v>62</v>
      </c>
      <c r="AQ13" s="34" t="n">
        <v>45</v>
      </c>
      <c r="AR13" s="34" t="n">
        <v>15</v>
      </c>
      <c r="AS13" s="34" t="n">
        <v>43</v>
      </c>
      <c r="AT13" s="34" t="n">
        <v>4</v>
      </c>
      <c r="AU13" s="34" t="n">
        <v>22</v>
      </c>
      <c r="AV13" s="34" t="n">
        <v>6</v>
      </c>
      <c r="AW13" s="34" t="n">
        <v>4</v>
      </c>
      <c r="AX13" s="34" t="n">
        <v>52</v>
      </c>
      <c r="AY13" s="34" t="n">
        <v>32</v>
      </c>
      <c r="AZ13" s="34" t="n">
        <v>68</v>
      </c>
      <c r="BA13" s="34" t="n">
        <v>81</v>
      </c>
      <c r="BB13" s="34" t="n">
        <v>62</v>
      </c>
      <c r="BC13" s="34" t="n">
        <v>78</v>
      </c>
      <c r="BD13" s="34" t="n">
        <v>85</v>
      </c>
      <c r="BE13" s="34" t="n">
        <v>74</v>
      </c>
      <c r="BF13" s="34" t="n">
        <v>92</v>
      </c>
      <c r="BG13" s="34" t="n">
        <v>100</v>
      </c>
      <c r="BH13" s="34" t="n">
        <v>205</v>
      </c>
      <c r="BI13" s="34" t="n">
        <v>123</v>
      </c>
      <c r="BJ13" s="34" t="n">
        <v>328</v>
      </c>
      <c r="BK13" s="34" t="n">
        <v>28</v>
      </c>
      <c r="BL13" s="34" t="n">
        <v>22</v>
      </c>
    </row>
    <row r="14" customFormat="false" ht="15" hidden="false" customHeight="false" outlineLevel="0" collapsed="false">
      <c r="A14" s="12" t="s">
        <v>196</v>
      </c>
      <c r="B14" s="34" t="n">
        <v>10</v>
      </c>
      <c r="C14" s="12" t="s">
        <v>211</v>
      </c>
      <c r="D14" s="12" t="s">
        <v>212</v>
      </c>
      <c r="E14" s="34" t="n">
        <v>356</v>
      </c>
      <c r="F14" s="34" t="n">
        <v>225</v>
      </c>
      <c r="G14" s="34" t="n">
        <v>131</v>
      </c>
      <c r="H14" s="34" t="n">
        <v>105</v>
      </c>
      <c r="I14" s="34" t="n">
        <v>62</v>
      </c>
      <c r="J14" s="34" t="n">
        <v>30</v>
      </c>
      <c r="K14" s="34" t="n">
        <v>32</v>
      </c>
      <c r="L14" s="34" t="n">
        <v>74</v>
      </c>
      <c r="M14" s="34" t="n">
        <v>74</v>
      </c>
      <c r="N14" s="34" t="n">
        <v>3</v>
      </c>
      <c r="O14" s="34" t="n">
        <v>118</v>
      </c>
      <c r="P14" s="34" t="n">
        <v>10</v>
      </c>
      <c r="Q14" s="34" t="n">
        <v>108</v>
      </c>
      <c r="R14" s="34" t="n">
        <v>17</v>
      </c>
      <c r="S14" s="34" t="n">
        <v>16</v>
      </c>
      <c r="T14" s="34" t="n">
        <v>1633</v>
      </c>
      <c r="U14" s="34" t="n">
        <v>44</v>
      </c>
      <c r="V14" s="34" t="n">
        <v>7</v>
      </c>
      <c r="W14" s="34" t="n">
        <v>43</v>
      </c>
      <c r="X14" s="34" t="n">
        <v>8</v>
      </c>
      <c r="Y14" s="34" t="n">
        <v>25</v>
      </c>
      <c r="Z14" s="34" t="n">
        <v>10</v>
      </c>
      <c r="AA14" s="34" t="n">
        <v>46</v>
      </c>
      <c r="AB14" s="34" t="n">
        <v>28</v>
      </c>
      <c r="AC14" s="34" t="n">
        <v>19</v>
      </c>
      <c r="AD14" s="34" t="n">
        <v>7</v>
      </c>
      <c r="AE14" s="34" t="n">
        <v>57</v>
      </c>
      <c r="AF14" s="34" t="n">
        <v>61</v>
      </c>
      <c r="AG14" s="34" t="n">
        <v>3</v>
      </c>
      <c r="AH14" s="34" t="n">
        <v>35</v>
      </c>
      <c r="AI14" s="34" t="n">
        <v>23</v>
      </c>
      <c r="AJ14" s="34" t="n">
        <v>125</v>
      </c>
      <c r="AK14" s="34" t="n">
        <v>38</v>
      </c>
      <c r="AL14" s="34" t="n">
        <v>21</v>
      </c>
      <c r="AM14" s="34" t="n">
        <v>2</v>
      </c>
      <c r="AN14" s="34" t="n">
        <v>22</v>
      </c>
      <c r="AO14" s="34" t="n">
        <v>6</v>
      </c>
      <c r="AP14" s="34" t="n">
        <v>64</v>
      </c>
      <c r="AQ14" s="34" t="n">
        <v>49</v>
      </c>
      <c r="AR14" s="34" t="n">
        <v>17</v>
      </c>
      <c r="AS14" s="34" t="n">
        <v>37</v>
      </c>
      <c r="AT14" s="34" t="n">
        <v>10</v>
      </c>
      <c r="AU14" s="34" t="n">
        <v>5</v>
      </c>
      <c r="AV14" s="34" t="n">
        <v>15</v>
      </c>
      <c r="AW14" s="34" t="n">
        <v>1</v>
      </c>
      <c r="AX14" s="34" t="n">
        <v>45</v>
      </c>
      <c r="AY14" s="34" t="n">
        <v>21</v>
      </c>
      <c r="AZ14" s="34" t="n">
        <v>23</v>
      </c>
      <c r="BA14" s="34" t="n">
        <v>67</v>
      </c>
      <c r="BB14" s="34" t="n">
        <v>59</v>
      </c>
      <c r="BC14" s="34" t="n">
        <v>67</v>
      </c>
      <c r="BD14" s="34" t="n">
        <v>67</v>
      </c>
      <c r="BE14" s="34" t="n">
        <v>74</v>
      </c>
      <c r="BF14" s="34" t="n">
        <v>64</v>
      </c>
      <c r="BG14" s="34" t="n">
        <v>86</v>
      </c>
      <c r="BH14" s="34" t="n">
        <v>150</v>
      </c>
      <c r="BI14" s="34" t="n">
        <v>89</v>
      </c>
      <c r="BJ14" s="34" t="n">
        <v>239</v>
      </c>
      <c r="BK14" s="34" t="n">
        <v>32</v>
      </c>
      <c r="BL14" s="34" t="n">
        <v>18</v>
      </c>
    </row>
    <row r="15" customFormat="false" ht="15" hidden="false" customHeight="false" outlineLevel="0" collapsed="false">
      <c r="A15" s="12" t="s">
        <v>197</v>
      </c>
      <c r="B15" s="34" t="n">
        <v>11</v>
      </c>
      <c r="C15" s="12" t="s">
        <v>211</v>
      </c>
      <c r="D15" s="12" t="s">
        <v>212</v>
      </c>
      <c r="E15" s="34" t="n">
        <v>311</v>
      </c>
      <c r="F15" s="34" t="n">
        <v>219</v>
      </c>
      <c r="G15" s="34" t="n">
        <v>92</v>
      </c>
      <c r="H15" s="34" t="n">
        <v>131</v>
      </c>
      <c r="I15" s="34" t="n">
        <v>71</v>
      </c>
      <c r="J15" s="34" t="n">
        <v>27</v>
      </c>
      <c r="K15" s="34" t="n">
        <v>44</v>
      </c>
      <c r="L15" s="34" t="n">
        <v>80</v>
      </c>
      <c r="M15" s="34" t="n">
        <v>36</v>
      </c>
      <c r="N15" s="34" t="n">
        <v>7</v>
      </c>
      <c r="O15" s="34" t="n">
        <v>99</v>
      </c>
      <c r="P15" s="34" t="n">
        <v>18</v>
      </c>
      <c r="Q15" s="34" t="n">
        <v>81</v>
      </c>
      <c r="R15" s="34" t="n">
        <v>19</v>
      </c>
      <c r="S15" s="34" t="n">
        <v>10</v>
      </c>
      <c r="T15" s="34" t="n">
        <v>1415</v>
      </c>
      <c r="U15" s="34" t="n">
        <v>63</v>
      </c>
      <c r="V15" s="34" t="n">
        <v>11</v>
      </c>
      <c r="W15" s="34" t="n">
        <v>33</v>
      </c>
      <c r="X15" s="34" t="n">
        <v>7</v>
      </c>
      <c r="Y15" s="34" t="n">
        <v>21</v>
      </c>
      <c r="Z15" s="34" t="n">
        <v>5</v>
      </c>
      <c r="AA15" s="34" t="n">
        <v>36</v>
      </c>
      <c r="AB15" s="34" t="n">
        <v>45</v>
      </c>
      <c r="AC15" s="34" t="n">
        <v>24</v>
      </c>
      <c r="AD15" s="34" t="n">
        <v>10</v>
      </c>
      <c r="AE15" s="34" t="n">
        <v>31</v>
      </c>
      <c r="AF15" s="34" t="n">
        <v>69</v>
      </c>
      <c r="AG15" s="34" t="n">
        <v>4</v>
      </c>
      <c r="AH15" s="34" t="n">
        <v>47</v>
      </c>
      <c r="AI15" s="34" t="n">
        <v>18</v>
      </c>
      <c r="AJ15" s="34" t="n">
        <v>117</v>
      </c>
      <c r="AK15" s="34" t="n">
        <v>45</v>
      </c>
      <c r="AL15" s="34" t="n">
        <v>17</v>
      </c>
      <c r="AM15" s="34" t="n">
        <v>2</v>
      </c>
      <c r="AN15" s="34" t="n">
        <v>10</v>
      </c>
      <c r="AO15" s="34" t="n">
        <v>3</v>
      </c>
      <c r="AP15" s="34" t="n">
        <v>53</v>
      </c>
      <c r="AQ15" s="34" t="n">
        <v>43</v>
      </c>
      <c r="AR15" s="34" t="n">
        <v>11</v>
      </c>
      <c r="AS15" s="34" t="n">
        <v>23</v>
      </c>
      <c r="AT15" s="34" t="n">
        <v>19</v>
      </c>
      <c r="AU15" s="34" t="n">
        <v>4</v>
      </c>
      <c r="AV15" s="34" t="n">
        <v>9</v>
      </c>
      <c r="AW15" s="34" t="n">
        <v>3</v>
      </c>
      <c r="AX15" s="34" t="n">
        <v>44</v>
      </c>
      <c r="AY15" s="34" t="n">
        <v>16</v>
      </c>
      <c r="AZ15" s="34" t="n">
        <v>25</v>
      </c>
      <c r="BA15" s="34" t="n">
        <v>58</v>
      </c>
      <c r="BB15" s="34" t="n">
        <v>44</v>
      </c>
      <c r="BC15" s="34" t="n">
        <v>53</v>
      </c>
      <c r="BD15" s="34" t="n">
        <v>68</v>
      </c>
      <c r="BE15" s="34" t="n">
        <v>45</v>
      </c>
      <c r="BF15" s="34" t="n">
        <v>56</v>
      </c>
      <c r="BG15" s="34" t="n">
        <v>60</v>
      </c>
      <c r="BH15" s="34" t="n">
        <v>117</v>
      </c>
      <c r="BI15" s="34" t="n">
        <v>63</v>
      </c>
      <c r="BJ15" s="34" t="n">
        <v>180</v>
      </c>
      <c r="BK15" s="34" t="n">
        <v>15</v>
      </c>
      <c r="BL15" s="34" t="n">
        <v>25</v>
      </c>
    </row>
    <row r="16" customFormat="false" ht="15" hidden="false" customHeight="false" outlineLevel="0" collapsed="false">
      <c r="A16" s="12" t="s">
        <v>201</v>
      </c>
      <c r="B16" s="34" t="n">
        <v>12</v>
      </c>
      <c r="C16" s="12" t="s">
        <v>211</v>
      </c>
      <c r="D16" s="12" t="s">
        <v>213</v>
      </c>
      <c r="E16" s="34" t="n">
        <v>373</v>
      </c>
      <c r="F16" s="34" t="n">
        <v>248</v>
      </c>
      <c r="G16" s="34" t="n">
        <v>125</v>
      </c>
      <c r="H16" s="34" t="n">
        <v>116</v>
      </c>
      <c r="I16" s="34" t="n">
        <v>69</v>
      </c>
      <c r="J16" s="34" t="n">
        <v>21</v>
      </c>
      <c r="K16" s="34" t="n">
        <v>48</v>
      </c>
      <c r="L16" s="34" t="n">
        <v>60</v>
      </c>
      <c r="M16" s="34" t="n">
        <v>51</v>
      </c>
      <c r="N16" s="34" t="n">
        <v>10</v>
      </c>
      <c r="O16" s="34" t="n">
        <v>136</v>
      </c>
      <c r="P16" s="34" t="n">
        <v>17</v>
      </c>
      <c r="Q16" s="34" t="n">
        <v>119</v>
      </c>
      <c r="R16" s="34" t="n">
        <v>20</v>
      </c>
      <c r="S16" s="34" t="n">
        <v>24</v>
      </c>
      <c r="T16" s="34" t="n">
        <v>1719</v>
      </c>
      <c r="U16" s="34" t="n">
        <v>64</v>
      </c>
      <c r="V16" s="34" t="n">
        <v>12</v>
      </c>
      <c r="W16" s="34" t="n">
        <v>40</v>
      </c>
      <c r="X16" s="34" t="n">
        <v>9</v>
      </c>
      <c r="Y16" s="34" t="n">
        <v>20</v>
      </c>
      <c r="Z16" s="34" t="n">
        <v>11</v>
      </c>
      <c r="AA16" s="34" t="n">
        <v>47</v>
      </c>
      <c r="AB16" s="34" t="n">
        <v>31</v>
      </c>
      <c r="AC16" s="34" t="n">
        <v>12</v>
      </c>
      <c r="AD16" s="34" t="n">
        <v>15</v>
      </c>
      <c r="AE16" s="34" t="n">
        <v>40</v>
      </c>
      <c r="AF16" s="34" t="n">
        <v>63</v>
      </c>
      <c r="AG16" s="34" t="n">
        <v>7</v>
      </c>
      <c r="AH16" s="34" t="n">
        <v>36</v>
      </c>
      <c r="AI16" s="34" t="n">
        <v>20</v>
      </c>
      <c r="AJ16" s="34" t="n">
        <v>103</v>
      </c>
      <c r="AK16" s="34" t="n">
        <v>34</v>
      </c>
      <c r="AL16" s="34" t="n">
        <v>20</v>
      </c>
      <c r="AM16" s="34" t="n">
        <v>1</v>
      </c>
      <c r="AN16" s="34" t="n">
        <v>4</v>
      </c>
      <c r="AO16" s="34" t="n">
        <v>10</v>
      </c>
      <c r="AP16" s="34" t="n">
        <v>48</v>
      </c>
      <c r="AQ16" s="34" t="n">
        <v>34</v>
      </c>
      <c r="AR16" s="34" t="n">
        <v>7</v>
      </c>
      <c r="AS16" s="34" t="n">
        <v>35</v>
      </c>
      <c r="AT16" s="34" t="n">
        <v>6</v>
      </c>
      <c r="AU16" s="34" t="n">
        <v>13</v>
      </c>
      <c r="AV16" s="34" t="n">
        <v>7</v>
      </c>
      <c r="AW16" s="34" t="n">
        <v>3</v>
      </c>
      <c r="AX16" s="34" t="n">
        <v>48</v>
      </c>
      <c r="AY16" s="34" t="n">
        <v>23</v>
      </c>
      <c r="AZ16" s="34" t="n">
        <v>56</v>
      </c>
      <c r="BA16" s="34" t="n">
        <v>72</v>
      </c>
      <c r="BB16" s="34" t="n">
        <v>60</v>
      </c>
      <c r="BC16" s="34" t="n">
        <v>67</v>
      </c>
      <c r="BD16" s="34" t="n">
        <v>81</v>
      </c>
      <c r="BE16" s="34" t="n">
        <v>55</v>
      </c>
      <c r="BF16" s="34" t="n">
        <v>74</v>
      </c>
      <c r="BG16" s="34" t="n">
        <v>73</v>
      </c>
      <c r="BH16" s="34" t="n">
        <v>165</v>
      </c>
      <c r="BI16" s="34" t="n">
        <v>102</v>
      </c>
      <c r="BJ16" s="34" t="n">
        <v>267</v>
      </c>
      <c r="BK16" s="34" t="n">
        <v>22</v>
      </c>
      <c r="BL16" s="34" t="n">
        <v>23</v>
      </c>
    </row>
    <row r="17" customFormat="false" ht="15" hidden="false" customHeight="false" outlineLevel="0" collapsed="false">
      <c r="A17" s="12" t="s">
        <v>194</v>
      </c>
      <c r="B17" s="34" t="n">
        <v>13</v>
      </c>
      <c r="C17" s="12" t="s">
        <v>211</v>
      </c>
      <c r="D17" s="12" t="s">
        <v>212</v>
      </c>
      <c r="E17" s="34" t="n">
        <v>313</v>
      </c>
      <c r="F17" s="34" t="n">
        <v>182</v>
      </c>
      <c r="G17" s="34" t="n">
        <v>131</v>
      </c>
      <c r="H17" s="34" t="n">
        <v>133</v>
      </c>
      <c r="I17" s="34" t="n">
        <v>91</v>
      </c>
      <c r="J17" s="34" t="n">
        <v>42</v>
      </c>
      <c r="K17" s="34" t="n">
        <v>49</v>
      </c>
      <c r="L17" s="34" t="n">
        <v>76</v>
      </c>
      <c r="M17" s="34" t="n">
        <v>38</v>
      </c>
      <c r="N17" s="34" t="n">
        <v>3</v>
      </c>
      <c r="O17" s="34" t="n">
        <v>66</v>
      </c>
      <c r="P17" s="34" t="n">
        <v>11</v>
      </c>
      <c r="Q17" s="34" t="n">
        <v>55</v>
      </c>
      <c r="R17" s="34" t="n">
        <v>17</v>
      </c>
      <c r="S17" s="34" t="n">
        <v>6</v>
      </c>
      <c r="T17" s="34" t="n">
        <v>1324</v>
      </c>
      <c r="U17" s="34" t="n">
        <v>51</v>
      </c>
      <c r="V17" s="34" t="n">
        <v>13</v>
      </c>
      <c r="W17" s="34" t="n">
        <v>46</v>
      </c>
      <c r="X17" s="34" t="n">
        <v>7</v>
      </c>
      <c r="Y17" s="34" t="n">
        <v>25</v>
      </c>
      <c r="Z17" s="34" t="n">
        <v>14</v>
      </c>
      <c r="AA17" s="34" t="n">
        <v>39</v>
      </c>
      <c r="AB17" s="34" t="n">
        <v>38</v>
      </c>
      <c r="AC17" s="34" t="n">
        <v>23</v>
      </c>
      <c r="AD17" s="34" t="n">
        <v>10</v>
      </c>
      <c r="AE17" s="34" t="n">
        <v>31</v>
      </c>
      <c r="AF17" s="34" t="n">
        <v>83</v>
      </c>
      <c r="AG17" s="34" t="n">
        <v>9</v>
      </c>
      <c r="AH17" s="34" t="n">
        <v>46</v>
      </c>
      <c r="AI17" s="34" t="n">
        <v>28</v>
      </c>
      <c r="AJ17" s="34" t="n">
        <v>120</v>
      </c>
      <c r="AK17" s="34" t="n">
        <v>39</v>
      </c>
      <c r="AL17" s="34" t="n">
        <v>13</v>
      </c>
      <c r="AM17" s="34" t="n">
        <v>4</v>
      </c>
      <c r="AN17" s="34" t="n">
        <v>13</v>
      </c>
      <c r="AO17" s="34" t="n">
        <v>10</v>
      </c>
      <c r="AP17" s="34" t="n">
        <v>64</v>
      </c>
      <c r="AQ17" s="34" t="n">
        <v>51</v>
      </c>
      <c r="AR17" s="34" t="n">
        <v>9</v>
      </c>
      <c r="AS17" s="34" t="n">
        <v>38</v>
      </c>
      <c r="AT17" s="34" t="n">
        <v>17</v>
      </c>
      <c r="AU17" s="34" t="n">
        <v>4</v>
      </c>
      <c r="AV17" s="34" t="n">
        <v>5</v>
      </c>
      <c r="AW17" s="34" t="n">
        <v>3</v>
      </c>
      <c r="AX17" s="34" t="n">
        <v>30</v>
      </c>
      <c r="AY17" s="34" t="n">
        <v>12</v>
      </c>
      <c r="AZ17" s="34" t="n">
        <v>33</v>
      </c>
      <c r="BA17" s="34" t="n">
        <v>60</v>
      </c>
      <c r="BB17" s="34" t="n">
        <v>38</v>
      </c>
      <c r="BC17" s="34" t="n">
        <v>50</v>
      </c>
      <c r="BD17" s="34" t="n">
        <v>73</v>
      </c>
      <c r="BE17" s="34" t="n">
        <v>61</v>
      </c>
      <c r="BF17" s="34" t="n">
        <v>58</v>
      </c>
      <c r="BG17" s="34" t="n">
        <v>70</v>
      </c>
      <c r="BH17" s="34" t="n">
        <v>91</v>
      </c>
      <c r="BI17" s="34" t="n">
        <v>96</v>
      </c>
      <c r="BJ17" s="34" t="n">
        <v>187</v>
      </c>
      <c r="BK17" s="34" t="n">
        <v>28</v>
      </c>
      <c r="BL17" s="34" t="n">
        <v>22</v>
      </c>
    </row>
    <row r="18" customFormat="false" ht="15" hidden="false" customHeight="false" outlineLevel="0" collapsed="false">
      <c r="A18" s="12" t="s">
        <v>200</v>
      </c>
      <c r="B18" s="34" t="n">
        <v>14</v>
      </c>
      <c r="C18" s="12" t="s">
        <v>211</v>
      </c>
      <c r="D18" s="12" t="s">
        <v>213</v>
      </c>
      <c r="E18" s="34" t="n">
        <v>362</v>
      </c>
      <c r="F18" s="34" t="n">
        <v>235</v>
      </c>
      <c r="G18" s="34" t="n">
        <v>127</v>
      </c>
      <c r="H18" s="34" t="n">
        <v>151</v>
      </c>
      <c r="I18" s="34" t="n">
        <v>88</v>
      </c>
      <c r="J18" s="34" t="n">
        <v>36</v>
      </c>
      <c r="K18" s="34" t="n">
        <v>52</v>
      </c>
      <c r="L18" s="34" t="n">
        <v>77</v>
      </c>
      <c r="M18" s="34" t="n">
        <v>66</v>
      </c>
      <c r="N18" s="34" t="n">
        <v>3</v>
      </c>
      <c r="O18" s="34" t="n">
        <v>94</v>
      </c>
      <c r="P18" s="34" t="n">
        <v>16</v>
      </c>
      <c r="Q18" s="34" t="n">
        <v>78</v>
      </c>
      <c r="R18" s="34" t="n">
        <v>17</v>
      </c>
      <c r="S18" s="34" t="n">
        <v>12</v>
      </c>
      <c r="T18" s="34" t="n">
        <v>1727</v>
      </c>
      <c r="U18" s="34" t="n">
        <v>64</v>
      </c>
      <c r="V18" s="34" t="n">
        <v>16</v>
      </c>
      <c r="W18" s="34" t="n">
        <v>48</v>
      </c>
      <c r="X18" s="34" t="n">
        <v>15</v>
      </c>
      <c r="Y18" s="34" t="n">
        <v>19</v>
      </c>
      <c r="Z18" s="34" t="n">
        <v>14</v>
      </c>
      <c r="AA18" s="34" t="n">
        <v>63</v>
      </c>
      <c r="AB18" s="34" t="n">
        <v>25</v>
      </c>
      <c r="AC18" s="34" t="n">
        <v>19</v>
      </c>
      <c r="AD18" s="34" t="n">
        <v>10</v>
      </c>
      <c r="AE18" s="34" t="n">
        <v>33</v>
      </c>
      <c r="AF18" s="34" t="n">
        <v>76</v>
      </c>
      <c r="AG18" s="34" t="n">
        <v>5</v>
      </c>
      <c r="AH18" s="34" t="n">
        <v>46</v>
      </c>
      <c r="AI18" s="34" t="n">
        <v>25</v>
      </c>
      <c r="AJ18" s="34" t="n">
        <v>97</v>
      </c>
      <c r="AK18" s="34" t="n">
        <v>24</v>
      </c>
      <c r="AL18" s="34" t="n">
        <v>10</v>
      </c>
      <c r="AM18" s="34" t="n">
        <v>5</v>
      </c>
      <c r="AN18" s="34" t="n">
        <v>10</v>
      </c>
      <c r="AO18" s="34" t="n">
        <v>2</v>
      </c>
      <c r="AP18" s="34" t="n">
        <v>58</v>
      </c>
      <c r="AQ18" s="34" t="n">
        <v>47</v>
      </c>
      <c r="AR18" s="34" t="n">
        <v>12</v>
      </c>
      <c r="AS18" s="34" t="n">
        <v>42</v>
      </c>
      <c r="AT18" s="34" t="n">
        <v>4</v>
      </c>
      <c r="AU18" s="34" t="n">
        <v>19</v>
      </c>
      <c r="AV18" s="34" t="n">
        <v>9</v>
      </c>
      <c r="AW18" s="34" t="n">
        <v>3</v>
      </c>
      <c r="AX18" s="34" t="n">
        <v>49</v>
      </c>
      <c r="AY18" s="34" t="n">
        <v>31</v>
      </c>
      <c r="AZ18" s="34" t="n">
        <v>61</v>
      </c>
      <c r="BA18" s="34" t="n">
        <v>67</v>
      </c>
      <c r="BB18" s="34" t="n">
        <v>54</v>
      </c>
      <c r="BC18" s="34" t="n">
        <v>62</v>
      </c>
      <c r="BD18" s="34" t="n">
        <v>76</v>
      </c>
      <c r="BE18" s="34" t="n">
        <v>54</v>
      </c>
      <c r="BF18" s="34" t="n">
        <v>60</v>
      </c>
      <c r="BG18" s="34" t="n">
        <v>70</v>
      </c>
      <c r="BH18" s="34" t="n">
        <v>145</v>
      </c>
      <c r="BI18" s="34" t="n">
        <v>97</v>
      </c>
      <c r="BJ18" s="34" t="n">
        <v>242</v>
      </c>
      <c r="BK18" s="34" t="n">
        <v>26</v>
      </c>
      <c r="BL18" s="34" t="n">
        <v>15</v>
      </c>
    </row>
    <row r="19" customFormat="false" ht="15" hidden="false" customHeight="false" outlineLevel="0" collapsed="false">
      <c r="A19" s="12" t="s">
        <v>198</v>
      </c>
      <c r="B19" s="34" t="n">
        <v>15</v>
      </c>
      <c r="C19" s="12" t="s">
        <v>211</v>
      </c>
      <c r="D19" s="12" t="s">
        <v>212</v>
      </c>
      <c r="E19" s="34" t="n">
        <v>346</v>
      </c>
      <c r="F19" s="34" t="n">
        <v>210</v>
      </c>
      <c r="G19" s="34" t="n">
        <v>136</v>
      </c>
      <c r="H19" s="34" t="n">
        <v>163</v>
      </c>
      <c r="I19" s="34" t="n">
        <v>103</v>
      </c>
      <c r="J19" s="34" t="n">
        <v>34</v>
      </c>
      <c r="K19" s="34" t="n">
        <v>69</v>
      </c>
      <c r="L19" s="34" t="n">
        <v>67</v>
      </c>
      <c r="M19" s="34" t="n">
        <v>46</v>
      </c>
      <c r="N19" s="34" t="n">
        <v>8</v>
      </c>
      <c r="O19" s="34" t="n">
        <v>89</v>
      </c>
      <c r="P19" s="34" t="n">
        <v>18</v>
      </c>
      <c r="Q19" s="34" t="n">
        <v>71</v>
      </c>
      <c r="R19" s="34" t="n">
        <v>17</v>
      </c>
      <c r="S19" s="34" t="n">
        <v>9</v>
      </c>
      <c r="T19" s="34" t="n">
        <v>1601</v>
      </c>
      <c r="U19" s="34" t="n">
        <v>57</v>
      </c>
      <c r="V19" s="34" t="n">
        <v>12</v>
      </c>
      <c r="W19" s="34" t="n">
        <v>50</v>
      </c>
      <c r="X19" s="34" t="n">
        <v>11</v>
      </c>
      <c r="Y19" s="34" t="n">
        <v>21</v>
      </c>
      <c r="Z19" s="34" t="n">
        <v>18</v>
      </c>
      <c r="AA19" s="34" t="n">
        <v>53</v>
      </c>
      <c r="AB19" s="34" t="n">
        <v>30</v>
      </c>
      <c r="AC19" s="34" t="n">
        <v>21</v>
      </c>
      <c r="AD19" s="34" t="n">
        <v>15</v>
      </c>
      <c r="AE19" s="34" t="n">
        <v>45</v>
      </c>
      <c r="AF19" s="34" t="n">
        <v>75</v>
      </c>
      <c r="AG19" s="34" t="n">
        <v>8</v>
      </c>
      <c r="AH19" s="34" t="n">
        <v>38</v>
      </c>
      <c r="AI19" s="34" t="n">
        <v>29</v>
      </c>
      <c r="AJ19" s="34" t="n">
        <v>149</v>
      </c>
      <c r="AK19" s="34" t="n">
        <v>54</v>
      </c>
      <c r="AL19" s="34" t="n">
        <v>12</v>
      </c>
      <c r="AM19" s="34" t="n">
        <v>5</v>
      </c>
      <c r="AN19" s="34" t="n">
        <v>18</v>
      </c>
      <c r="AO19" s="34" t="n">
        <v>11</v>
      </c>
      <c r="AP19" s="34" t="n">
        <v>78</v>
      </c>
      <c r="AQ19" s="34" t="n">
        <v>55</v>
      </c>
      <c r="AR19" s="34" t="n">
        <v>16</v>
      </c>
      <c r="AS19" s="34" t="n">
        <v>51</v>
      </c>
      <c r="AT19" s="34" t="n">
        <v>11</v>
      </c>
      <c r="AU19" s="34" t="n">
        <v>8</v>
      </c>
      <c r="AV19" s="34" t="n">
        <v>11</v>
      </c>
      <c r="AW19" s="34" t="n">
        <v>1</v>
      </c>
      <c r="AX19" s="34" t="n">
        <v>37</v>
      </c>
      <c r="AY19" s="34" t="n">
        <v>20</v>
      </c>
      <c r="AZ19" s="34" t="n">
        <v>40</v>
      </c>
      <c r="BA19" s="34" t="n">
        <v>67</v>
      </c>
      <c r="BB19" s="34" t="n">
        <v>49</v>
      </c>
      <c r="BC19" s="34" t="n">
        <v>63</v>
      </c>
      <c r="BD19" s="34" t="n">
        <v>72</v>
      </c>
      <c r="BE19" s="34" t="n">
        <v>40</v>
      </c>
      <c r="BF19" s="34" t="n">
        <v>53</v>
      </c>
      <c r="BG19" s="34" t="n">
        <v>87</v>
      </c>
      <c r="BH19" s="34" t="n">
        <v>133</v>
      </c>
      <c r="BI19" s="34" t="n">
        <v>98</v>
      </c>
      <c r="BJ19" s="34" t="n">
        <v>231</v>
      </c>
      <c r="BK19" s="34" t="n">
        <v>20</v>
      </c>
      <c r="BL19" s="34" t="n">
        <v>16</v>
      </c>
    </row>
    <row r="20" customFormat="false" ht="15" hidden="false" customHeight="false" outlineLevel="0" collapsed="false">
      <c r="A20" s="12" t="s">
        <v>203</v>
      </c>
      <c r="B20" s="34" t="n">
        <v>16</v>
      </c>
      <c r="C20" s="12" t="s">
        <v>211</v>
      </c>
      <c r="D20" s="12" t="s">
        <v>213</v>
      </c>
      <c r="E20" s="34" t="n">
        <v>440</v>
      </c>
      <c r="F20" s="34" t="n">
        <v>292</v>
      </c>
      <c r="G20" s="34" t="n">
        <v>148</v>
      </c>
      <c r="H20" s="34" t="n">
        <v>142</v>
      </c>
      <c r="I20" s="34" t="n">
        <v>88</v>
      </c>
      <c r="J20" s="34" t="n">
        <v>32</v>
      </c>
      <c r="K20" s="34" t="n">
        <v>56</v>
      </c>
      <c r="L20" s="34" t="n">
        <v>73</v>
      </c>
      <c r="M20" s="34" t="n">
        <v>50</v>
      </c>
      <c r="N20" s="34" t="n">
        <v>18</v>
      </c>
      <c r="O20" s="34" t="n">
        <v>168</v>
      </c>
      <c r="P20" s="34" t="n">
        <v>14</v>
      </c>
      <c r="Q20" s="34" t="n">
        <v>154</v>
      </c>
      <c r="R20" s="34" t="n">
        <v>20</v>
      </c>
      <c r="S20" s="34" t="n">
        <v>29</v>
      </c>
      <c r="T20" s="34" t="n">
        <v>2133</v>
      </c>
      <c r="U20" s="34" t="n">
        <v>68</v>
      </c>
      <c r="V20" s="34" t="n">
        <v>23</v>
      </c>
      <c r="W20" s="34" t="n">
        <v>35</v>
      </c>
      <c r="X20" s="34" t="n">
        <v>11</v>
      </c>
      <c r="Y20" s="34" t="n">
        <v>19</v>
      </c>
      <c r="Z20" s="34" t="n">
        <v>5</v>
      </c>
      <c r="AA20" s="34" t="n">
        <v>63</v>
      </c>
      <c r="AB20" s="34" t="n">
        <v>15</v>
      </c>
      <c r="AC20" s="34" t="n">
        <v>15</v>
      </c>
      <c r="AD20" s="34" t="n">
        <v>5</v>
      </c>
      <c r="AE20" s="34" t="n">
        <v>27</v>
      </c>
      <c r="AF20" s="34" t="n">
        <v>63</v>
      </c>
      <c r="AG20" s="34" t="n">
        <v>1</v>
      </c>
      <c r="AH20" s="34" t="n">
        <v>32</v>
      </c>
      <c r="AI20" s="34" t="n">
        <v>30</v>
      </c>
      <c r="AJ20" s="34" t="n">
        <v>94</v>
      </c>
      <c r="AK20" s="34" t="n">
        <v>28</v>
      </c>
      <c r="AL20" s="34" t="n">
        <v>13</v>
      </c>
      <c r="AM20" s="34" t="n">
        <v>1</v>
      </c>
      <c r="AN20" s="34" t="n">
        <v>8</v>
      </c>
      <c r="AO20" s="34" t="n">
        <v>6</v>
      </c>
      <c r="AP20" s="34" t="n">
        <v>52</v>
      </c>
      <c r="AQ20" s="34" t="n">
        <v>43</v>
      </c>
      <c r="AR20" s="34" t="n">
        <v>11</v>
      </c>
      <c r="AS20" s="34" t="n">
        <v>38</v>
      </c>
      <c r="AT20" s="34" t="n">
        <v>3</v>
      </c>
      <c r="AU20" s="34" t="n">
        <v>23</v>
      </c>
      <c r="AV20" s="34" t="n">
        <v>13</v>
      </c>
      <c r="AW20" s="34" t="n">
        <v>3</v>
      </c>
      <c r="AX20" s="34" t="n">
        <v>61</v>
      </c>
      <c r="AY20" s="34" t="n">
        <v>39</v>
      </c>
      <c r="AZ20" s="34" t="n">
        <v>58</v>
      </c>
      <c r="BA20" s="34" t="n">
        <v>80</v>
      </c>
      <c r="BB20" s="34" t="n">
        <v>56</v>
      </c>
      <c r="BC20" s="34" t="n">
        <v>75</v>
      </c>
      <c r="BD20" s="34" t="n">
        <v>88</v>
      </c>
      <c r="BE20" s="34" t="n">
        <v>74</v>
      </c>
      <c r="BF20" s="34" t="n">
        <v>80</v>
      </c>
      <c r="BG20" s="34" t="n">
        <v>100</v>
      </c>
      <c r="BH20" s="34" t="n">
        <v>219</v>
      </c>
      <c r="BI20" s="34" t="n">
        <v>131</v>
      </c>
      <c r="BJ20" s="34" t="n">
        <v>350</v>
      </c>
      <c r="BK20" s="34" t="n">
        <v>26</v>
      </c>
      <c r="BL20" s="34" t="n">
        <v>12</v>
      </c>
    </row>
    <row r="21" customFormat="false" ht="15" hidden="false" customHeight="false" outlineLevel="0" collapsed="false">
      <c r="A21" s="12" t="s">
        <v>186</v>
      </c>
      <c r="B21" s="34" t="n">
        <v>17</v>
      </c>
      <c r="C21" s="12" t="s">
        <v>211</v>
      </c>
      <c r="D21" s="12" t="s">
        <v>212</v>
      </c>
      <c r="E21" s="34" t="n">
        <v>301</v>
      </c>
      <c r="F21" s="34" t="n">
        <v>183</v>
      </c>
      <c r="G21" s="34" t="n">
        <v>118</v>
      </c>
      <c r="H21" s="34" t="n">
        <v>109</v>
      </c>
      <c r="I21" s="34" t="n">
        <v>73</v>
      </c>
      <c r="J21" s="34" t="n">
        <v>22</v>
      </c>
      <c r="K21" s="34" t="n">
        <v>51</v>
      </c>
      <c r="L21" s="34" t="n">
        <v>70</v>
      </c>
      <c r="M21" s="34" t="n">
        <v>40</v>
      </c>
      <c r="N21" s="34" t="n">
        <v>7</v>
      </c>
      <c r="O21" s="34" t="n">
        <v>80</v>
      </c>
      <c r="P21" s="34" t="n">
        <v>6</v>
      </c>
      <c r="Q21" s="34" t="n">
        <v>74</v>
      </c>
      <c r="R21" s="34" t="n">
        <v>17</v>
      </c>
      <c r="S21" s="34" t="n">
        <v>10</v>
      </c>
      <c r="T21" s="34" t="n">
        <v>1417</v>
      </c>
      <c r="U21" s="34" t="n">
        <v>82</v>
      </c>
      <c r="V21" s="34" t="n">
        <v>18</v>
      </c>
      <c r="W21" s="34" t="n">
        <v>37</v>
      </c>
      <c r="X21" s="34" t="n">
        <v>13</v>
      </c>
      <c r="Y21" s="34" t="n">
        <v>15</v>
      </c>
      <c r="Z21" s="34" t="n">
        <v>9</v>
      </c>
      <c r="AA21" s="34" t="n">
        <v>38</v>
      </c>
      <c r="AB21" s="34" t="n">
        <v>33</v>
      </c>
      <c r="AC21" s="34" t="n">
        <v>15</v>
      </c>
      <c r="AD21" s="34" t="n">
        <v>9</v>
      </c>
      <c r="AE21" s="34" t="n">
        <v>42</v>
      </c>
      <c r="AF21" s="34" t="n">
        <v>66</v>
      </c>
      <c r="AG21" s="34" t="n">
        <v>9</v>
      </c>
      <c r="AH21" s="34" t="n">
        <v>40</v>
      </c>
      <c r="AI21" s="34" t="n">
        <v>17</v>
      </c>
      <c r="AJ21" s="34" t="n">
        <v>114</v>
      </c>
      <c r="AK21" s="34" t="n">
        <v>41</v>
      </c>
      <c r="AL21" s="34" t="n">
        <v>15</v>
      </c>
      <c r="AM21" s="34" t="n">
        <v>0</v>
      </c>
      <c r="AN21" s="34" t="n">
        <v>24</v>
      </c>
      <c r="AO21" s="34" t="n">
        <v>4</v>
      </c>
      <c r="AP21" s="34" t="n">
        <v>58</v>
      </c>
      <c r="AQ21" s="34" t="n">
        <v>43</v>
      </c>
      <c r="AR21" s="34" t="n">
        <v>7</v>
      </c>
      <c r="AS21" s="34" t="n">
        <v>35</v>
      </c>
      <c r="AT21" s="34" t="n">
        <v>16</v>
      </c>
      <c r="AU21" s="34" t="n">
        <v>10</v>
      </c>
      <c r="AV21" s="34" t="n">
        <v>8</v>
      </c>
      <c r="AW21" s="34" t="n">
        <v>3</v>
      </c>
      <c r="AX21" s="34" t="n">
        <v>55</v>
      </c>
      <c r="AY21" s="34" t="n">
        <v>21</v>
      </c>
      <c r="AZ21" s="34" t="n">
        <v>47</v>
      </c>
      <c r="BA21" s="34" t="n">
        <v>63</v>
      </c>
      <c r="BB21" s="34" t="n">
        <v>45</v>
      </c>
      <c r="BC21" s="34" t="n">
        <v>57</v>
      </c>
      <c r="BD21" s="34" t="n">
        <v>71</v>
      </c>
      <c r="BE21" s="34" t="n">
        <v>62</v>
      </c>
      <c r="BF21" s="34" t="n">
        <v>48</v>
      </c>
      <c r="BG21" s="34" t="n">
        <v>89</v>
      </c>
      <c r="BH21" s="34" t="n">
        <v>105</v>
      </c>
      <c r="BI21" s="34" t="n">
        <v>84</v>
      </c>
      <c r="BJ21" s="34" t="n">
        <v>189</v>
      </c>
      <c r="BK21" s="34" t="n">
        <v>23</v>
      </c>
      <c r="BL21" s="34" t="n">
        <v>16</v>
      </c>
    </row>
    <row r="22" customFormat="false" ht="15" hidden="false" customHeight="false" outlineLevel="0" collapsed="false">
      <c r="A22" s="12" t="s">
        <v>199</v>
      </c>
      <c r="B22" s="34" t="n">
        <v>18</v>
      </c>
      <c r="C22" s="12" t="s">
        <v>211</v>
      </c>
      <c r="D22" s="12" t="s">
        <v>213</v>
      </c>
      <c r="E22" s="34" t="n">
        <v>360</v>
      </c>
      <c r="F22" s="34" t="n">
        <v>220</v>
      </c>
      <c r="G22" s="34" t="n">
        <v>140</v>
      </c>
      <c r="H22" s="34" t="n">
        <v>152</v>
      </c>
      <c r="I22" s="34" t="n">
        <v>92</v>
      </c>
      <c r="J22" s="34" t="n">
        <v>34</v>
      </c>
      <c r="K22" s="34" t="n">
        <v>58</v>
      </c>
      <c r="L22" s="34" t="n">
        <v>57</v>
      </c>
      <c r="M22" s="34" t="n">
        <v>47</v>
      </c>
      <c r="N22" s="34" t="n">
        <v>9</v>
      </c>
      <c r="O22" s="34" t="n">
        <v>98</v>
      </c>
      <c r="P22" s="34" t="n">
        <v>16</v>
      </c>
      <c r="Q22" s="34" t="n">
        <v>82</v>
      </c>
      <c r="R22" s="34" t="n">
        <v>16</v>
      </c>
      <c r="S22" s="34" t="n">
        <v>13</v>
      </c>
      <c r="T22" s="34" t="n">
        <v>1769</v>
      </c>
      <c r="U22" s="34" t="n">
        <v>62</v>
      </c>
      <c r="V22" s="34" t="n">
        <v>21</v>
      </c>
      <c r="W22" s="34" t="n">
        <v>52</v>
      </c>
      <c r="X22" s="34" t="n">
        <v>11</v>
      </c>
      <c r="Y22" s="34" t="n">
        <v>26</v>
      </c>
      <c r="Z22" s="34" t="n">
        <v>15</v>
      </c>
      <c r="AA22" s="34" t="n">
        <v>48</v>
      </c>
      <c r="AB22" s="34" t="n">
        <v>40</v>
      </c>
      <c r="AC22" s="34" t="n">
        <v>20</v>
      </c>
      <c r="AD22" s="34" t="n">
        <v>14</v>
      </c>
      <c r="AE22" s="34" t="n">
        <v>30</v>
      </c>
      <c r="AF22" s="34" t="n">
        <v>66</v>
      </c>
      <c r="AG22" s="34" t="n">
        <v>6</v>
      </c>
      <c r="AH22" s="34" t="n">
        <v>33</v>
      </c>
      <c r="AI22" s="34" t="n">
        <v>27</v>
      </c>
      <c r="AJ22" s="34" t="n">
        <v>116</v>
      </c>
      <c r="AK22" s="34" t="n">
        <v>41</v>
      </c>
      <c r="AL22" s="34" t="n">
        <v>8</v>
      </c>
      <c r="AM22" s="34" t="n">
        <v>3</v>
      </c>
      <c r="AN22" s="34" t="n">
        <v>14</v>
      </c>
      <c r="AO22" s="34" t="n">
        <v>9</v>
      </c>
      <c r="AP22" s="34" t="n">
        <v>64</v>
      </c>
      <c r="AQ22" s="34" t="n">
        <v>51</v>
      </c>
      <c r="AR22" s="34" t="n">
        <v>11</v>
      </c>
      <c r="AS22" s="34" t="n">
        <v>31</v>
      </c>
      <c r="AT22" s="34" t="n">
        <v>22</v>
      </c>
      <c r="AU22" s="34" t="n">
        <v>19</v>
      </c>
      <c r="AV22" s="34" t="n">
        <v>5</v>
      </c>
      <c r="AW22" s="34" t="n">
        <v>0</v>
      </c>
      <c r="AX22" s="34" t="n">
        <v>50</v>
      </c>
      <c r="AY22" s="34" t="n">
        <v>24</v>
      </c>
      <c r="AZ22" s="34" t="n">
        <v>79</v>
      </c>
      <c r="BA22" s="34" t="n">
        <v>70</v>
      </c>
      <c r="BB22" s="34" t="n">
        <v>54</v>
      </c>
      <c r="BC22" s="34" t="n">
        <v>65</v>
      </c>
      <c r="BD22" s="34" t="n">
        <v>77</v>
      </c>
      <c r="BE22" s="34" t="n">
        <v>69</v>
      </c>
      <c r="BF22" s="34" t="n">
        <v>57</v>
      </c>
      <c r="BG22" s="34" t="n">
        <v>86</v>
      </c>
      <c r="BH22" s="34" t="n">
        <v>143</v>
      </c>
      <c r="BI22" s="34" t="n">
        <v>109</v>
      </c>
      <c r="BJ22" s="34" t="n">
        <v>252</v>
      </c>
      <c r="BK22" s="34" t="n">
        <v>36</v>
      </c>
      <c r="BL22" s="34" t="n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C5"/>
    <pageSetUpPr fitToPage="false"/>
  </sheetPr>
  <dimension ref="A1:B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8" t="s">
        <v>207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">
        <v>194</v>
      </c>
      <c r="B5" s="34" t="n">
        <v>1</v>
      </c>
      <c r="C5" s="12" t="s">
        <v>211</v>
      </c>
      <c r="D5" s="12" t="s">
        <v>212</v>
      </c>
      <c r="E5" s="34" t="n">
        <v>343</v>
      </c>
      <c r="F5" s="34" t="n">
        <v>214</v>
      </c>
      <c r="G5" s="34" t="n">
        <v>129</v>
      </c>
      <c r="H5" s="34" t="n">
        <v>128</v>
      </c>
      <c r="I5" s="34" t="n">
        <v>82</v>
      </c>
      <c r="J5" s="34" t="n">
        <v>23</v>
      </c>
      <c r="K5" s="34" t="n">
        <v>59</v>
      </c>
      <c r="L5" s="34" t="n">
        <v>74</v>
      </c>
      <c r="M5" s="34" t="n">
        <v>65</v>
      </c>
      <c r="N5" s="34" t="n">
        <v>12</v>
      </c>
      <c r="O5" s="34" t="n">
        <v>103</v>
      </c>
      <c r="P5" s="34" t="n">
        <v>7</v>
      </c>
      <c r="Q5" s="34" t="n">
        <v>96</v>
      </c>
      <c r="R5" s="34" t="n">
        <v>13</v>
      </c>
      <c r="S5" s="34" t="n">
        <v>14</v>
      </c>
      <c r="T5" s="34" t="n">
        <v>1597</v>
      </c>
      <c r="U5" s="34" t="n">
        <v>50</v>
      </c>
      <c r="V5" s="34" t="n">
        <v>13</v>
      </c>
      <c r="W5" s="34" t="n">
        <v>39</v>
      </c>
      <c r="X5" s="34" t="n">
        <v>9</v>
      </c>
      <c r="Y5" s="34" t="n">
        <v>17</v>
      </c>
      <c r="Z5" s="34" t="n">
        <v>13</v>
      </c>
      <c r="AA5" s="34" t="n">
        <v>45</v>
      </c>
      <c r="AB5" s="34" t="n">
        <v>32</v>
      </c>
      <c r="AC5" s="34" t="n">
        <v>22</v>
      </c>
      <c r="AD5" s="34" t="n">
        <v>4</v>
      </c>
      <c r="AE5" s="34" t="n">
        <v>38</v>
      </c>
      <c r="AF5" s="34" t="n">
        <v>76</v>
      </c>
      <c r="AG5" s="34" t="n">
        <v>5</v>
      </c>
      <c r="AH5" s="34" t="n">
        <v>48</v>
      </c>
      <c r="AI5" s="34" t="n">
        <v>23</v>
      </c>
      <c r="AJ5" s="34" t="n">
        <v>103</v>
      </c>
      <c r="AK5" s="34" t="n">
        <v>23</v>
      </c>
      <c r="AL5" s="34" t="n">
        <v>14</v>
      </c>
      <c r="AM5" s="34" t="n">
        <v>2</v>
      </c>
      <c r="AN5" s="34" t="n">
        <v>17</v>
      </c>
      <c r="AO5" s="34" t="n">
        <v>5</v>
      </c>
      <c r="AP5" s="34" t="n">
        <v>64</v>
      </c>
      <c r="AQ5" s="34" t="n">
        <v>51</v>
      </c>
      <c r="AR5" s="34" t="n">
        <v>4</v>
      </c>
      <c r="AS5" s="34" t="n">
        <v>50</v>
      </c>
      <c r="AT5" s="34" t="n">
        <v>10</v>
      </c>
      <c r="AU5" s="34" t="n">
        <v>15</v>
      </c>
      <c r="AV5" s="34" t="n">
        <v>6</v>
      </c>
      <c r="AW5" s="34" t="n">
        <v>2</v>
      </c>
      <c r="AX5" s="34" t="n">
        <v>51</v>
      </c>
      <c r="AY5" s="34" t="n">
        <v>23</v>
      </c>
      <c r="AZ5" s="34" t="n">
        <v>65</v>
      </c>
      <c r="BA5" s="34" t="n">
        <v>64</v>
      </c>
      <c r="BB5" s="34" t="n">
        <v>51</v>
      </c>
      <c r="BC5" s="34" t="n">
        <v>61</v>
      </c>
      <c r="BD5" s="34" t="n">
        <v>69</v>
      </c>
      <c r="BE5" s="34" t="n">
        <v>72</v>
      </c>
      <c r="BF5" s="34" t="n">
        <v>47</v>
      </c>
      <c r="BG5" s="34" t="n">
        <v>75</v>
      </c>
      <c r="BH5" s="34" t="n">
        <v>131</v>
      </c>
      <c r="BI5" s="34" t="n">
        <v>90</v>
      </c>
      <c r="BJ5" s="34" t="n">
        <v>221</v>
      </c>
      <c r="BK5" s="34" t="n">
        <v>28</v>
      </c>
      <c r="BL5" s="34" t="n">
        <v>15</v>
      </c>
    </row>
    <row r="6" customFormat="false" ht="15" hidden="false" customHeight="false" outlineLevel="0" collapsed="false">
      <c r="A6" s="12" t="s">
        <v>201</v>
      </c>
      <c r="B6" s="34" t="n">
        <v>2</v>
      </c>
      <c r="C6" s="12" t="s">
        <v>211</v>
      </c>
      <c r="D6" s="12" t="s">
        <v>213</v>
      </c>
      <c r="E6" s="34" t="n">
        <v>264</v>
      </c>
      <c r="F6" s="34" t="n">
        <v>154</v>
      </c>
      <c r="G6" s="34" t="n">
        <v>110</v>
      </c>
      <c r="H6" s="34" t="n">
        <v>92</v>
      </c>
      <c r="I6" s="34" t="n">
        <v>61</v>
      </c>
      <c r="J6" s="34" t="n">
        <v>30</v>
      </c>
      <c r="K6" s="34" t="n">
        <v>31</v>
      </c>
      <c r="L6" s="34" t="n">
        <v>50</v>
      </c>
      <c r="M6" s="34" t="n">
        <v>31</v>
      </c>
      <c r="N6" s="34" t="n">
        <v>11</v>
      </c>
      <c r="O6" s="34" t="n">
        <v>72</v>
      </c>
      <c r="P6" s="34" t="n">
        <v>10</v>
      </c>
      <c r="Q6" s="34" t="n">
        <v>62</v>
      </c>
      <c r="R6" s="34" t="n">
        <v>15</v>
      </c>
      <c r="S6" s="34" t="n">
        <v>8</v>
      </c>
      <c r="T6" s="34" t="n">
        <v>1146</v>
      </c>
      <c r="U6" s="34" t="n">
        <v>23</v>
      </c>
      <c r="V6" s="34" t="n">
        <v>5</v>
      </c>
      <c r="W6" s="34" t="n">
        <v>23</v>
      </c>
      <c r="X6" s="34" t="n">
        <v>5</v>
      </c>
      <c r="Y6" s="34" t="n">
        <v>13</v>
      </c>
      <c r="Z6" s="34" t="n">
        <v>5</v>
      </c>
      <c r="AA6" s="34" t="n">
        <v>28</v>
      </c>
      <c r="AB6" s="34" t="n">
        <v>31</v>
      </c>
      <c r="AC6" s="34" t="n">
        <v>13</v>
      </c>
      <c r="AD6" s="34" t="n">
        <v>11</v>
      </c>
      <c r="AE6" s="34" t="n">
        <v>33</v>
      </c>
      <c r="AF6" s="34" t="n">
        <v>52</v>
      </c>
      <c r="AG6" s="34" t="n">
        <v>4</v>
      </c>
      <c r="AH6" s="34" t="n">
        <v>39</v>
      </c>
      <c r="AI6" s="34" t="n">
        <v>9</v>
      </c>
      <c r="AJ6" s="34" t="n">
        <v>87</v>
      </c>
      <c r="AK6" s="34" t="n">
        <v>19</v>
      </c>
      <c r="AL6" s="34" t="n">
        <v>11</v>
      </c>
      <c r="AM6" s="34" t="n">
        <v>2</v>
      </c>
      <c r="AN6" s="34" t="n">
        <v>10</v>
      </c>
      <c r="AO6" s="34" t="n">
        <v>2</v>
      </c>
      <c r="AP6" s="34" t="n">
        <v>55</v>
      </c>
      <c r="AQ6" s="34" t="n">
        <v>42</v>
      </c>
      <c r="AR6" s="34" t="n">
        <v>9</v>
      </c>
      <c r="AS6" s="34" t="n">
        <v>27</v>
      </c>
      <c r="AT6" s="34" t="n">
        <v>19</v>
      </c>
      <c r="AU6" s="34" t="n">
        <v>7</v>
      </c>
      <c r="AV6" s="34" t="n">
        <v>6</v>
      </c>
      <c r="AW6" s="34" t="n">
        <v>1</v>
      </c>
      <c r="AX6" s="34" t="n">
        <v>50</v>
      </c>
      <c r="AY6" s="34" t="n">
        <v>14</v>
      </c>
      <c r="AZ6" s="34" t="n">
        <v>50</v>
      </c>
      <c r="BA6" s="34" t="n">
        <v>67</v>
      </c>
      <c r="BB6" s="34" t="n">
        <v>61</v>
      </c>
      <c r="BC6" s="34" t="n">
        <v>57</v>
      </c>
      <c r="BD6" s="34" t="n">
        <v>80</v>
      </c>
      <c r="BE6" s="34" t="n">
        <v>61</v>
      </c>
      <c r="BF6" s="34" t="n">
        <v>55</v>
      </c>
      <c r="BG6" s="34" t="n">
        <v>45</v>
      </c>
      <c r="BH6" s="34" t="n">
        <v>88</v>
      </c>
      <c r="BI6" s="34" t="n">
        <v>88</v>
      </c>
      <c r="BJ6" s="34" t="n">
        <v>176</v>
      </c>
      <c r="BK6" s="34" t="n">
        <v>14</v>
      </c>
      <c r="BL6" s="34" t="n">
        <v>17</v>
      </c>
    </row>
    <row r="7" customFormat="false" ht="15" hidden="false" customHeight="false" outlineLevel="0" collapsed="false">
      <c r="A7" s="12" t="s">
        <v>200</v>
      </c>
      <c r="B7" s="34" t="n">
        <v>3</v>
      </c>
      <c r="C7" s="12" t="s">
        <v>211</v>
      </c>
      <c r="D7" s="12" t="s">
        <v>213</v>
      </c>
      <c r="E7" s="34" t="n">
        <v>333</v>
      </c>
      <c r="F7" s="34" t="n">
        <v>220</v>
      </c>
      <c r="G7" s="34" t="n">
        <v>113</v>
      </c>
      <c r="H7" s="34" t="n">
        <v>113</v>
      </c>
      <c r="I7" s="34" t="n">
        <v>74</v>
      </c>
      <c r="J7" s="34" t="n">
        <v>23</v>
      </c>
      <c r="K7" s="34" t="n">
        <v>51</v>
      </c>
      <c r="L7" s="34" t="n">
        <v>76</v>
      </c>
      <c r="M7" s="34" t="n">
        <v>50</v>
      </c>
      <c r="N7" s="34" t="n">
        <v>10</v>
      </c>
      <c r="O7" s="34" t="n">
        <v>104</v>
      </c>
      <c r="P7" s="34" t="n">
        <v>12</v>
      </c>
      <c r="Q7" s="34" t="n">
        <v>92</v>
      </c>
      <c r="R7" s="34" t="n">
        <v>10</v>
      </c>
      <c r="S7" s="34" t="n">
        <v>11</v>
      </c>
      <c r="T7" s="34" t="n">
        <v>1585</v>
      </c>
      <c r="U7" s="34" t="n">
        <v>30</v>
      </c>
      <c r="V7" s="34" t="n">
        <v>4</v>
      </c>
      <c r="W7" s="34" t="n">
        <v>38</v>
      </c>
      <c r="X7" s="34" t="n">
        <v>6</v>
      </c>
      <c r="Y7" s="34" t="n">
        <v>22</v>
      </c>
      <c r="Z7" s="34" t="n">
        <v>10</v>
      </c>
      <c r="AA7" s="34" t="n">
        <v>52</v>
      </c>
      <c r="AB7" s="34" t="n">
        <v>44</v>
      </c>
      <c r="AC7" s="34" t="n">
        <v>19</v>
      </c>
      <c r="AD7" s="34" t="n">
        <v>11</v>
      </c>
      <c r="AE7" s="34" t="n">
        <v>53</v>
      </c>
      <c r="AF7" s="34" t="n">
        <v>74</v>
      </c>
      <c r="AG7" s="34" t="n">
        <v>4</v>
      </c>
      <c r="AH7" s="34" t="n">
        <v>43</v>
      </c>
      <c r="AI7" s="34" t="n">
        <v>27</v>
      </c>
      <c r="AJ7" s="34" t="n">
        <v>153</v>
      </c>
      <c r="AK7" s="34" t="n">
        <v>58</v>
      </c>
      <c r="AL7" s="34" t="n">
        <v>12</v>
      </c>
      <c r="AM7" s="34" t="n">
        <v>4</v>
      </c>
      <c r="AN7" s="34" t="n">
        <v>22</v>
      </c>
      <c r="AO7" s="34" t="n">
        <v>12</v>
      </c>
      <c r="AP7" s="34" t="n">
        <v>79</v>
      </c>
      <c r="AQ7" s="34" t="n">
        <v>62</v>
      </c>
      <c r="AR7" s="34" t="n">
        <v>10</v>
      </c>
      <c r="AS7" s="34" t="n">
        <v>50</v>
      </c>
      <c r="AT7" s="34" t="n">
        <v>19</v>
      </c>
      <c r="AU7" s="34" t="n">
        <v>6</v>
      </c>
      <c r="AV7" s="34" t="n">
        <v>9</v>
      </c>
      <c r="AW7" s="34" t="n">
        <v>3</v>
      </c>
      <c r="AX7" s="34" t="n">
        <v>34</v>
      </c>
      <c r="AY7" s="34" t="n">
        <v>18</v>
      </c>
      <c r="AZ7" s="34" t="n">
        <v>33</v>
      </c>
      <c r="BA7" s="34" t="n">
        <v>66</v>
      </c>
      <c r="BB7" s="34" t="n">
        <v>42</v>
      </c>
      <c r="BC7" s="34" t="n">
        <v>60</v>
      </c>
      <c r="BD7" s="34" t="n">
        <v>76</v>
      </c>
      <c r="BE7" s="34" t="n">
        <v>55</v>
      </c>
      <c r="BF7" s="34" t="n">
        <v>52</v>
      </c>
      <c r="BG7" s="34" t="n">
        <v>100</v>
      </c>
      <c r="BH7" s="34" t="n">
        <v>133</v>
      </c>
      <c r="BI7" s="34" t="n">
        <v>86</v>
      </c>
      <c r="BJ7" s="34" t="n">
        <v>219</v>
      </c>
      <c r="BK7" s="34" t="n">
        <v>21</v>
      </c>
      <c r="BL7" s="34" t="n">
        <v>23</v>
      </c>
    </row>
    <row r="8" customFormat="false" ht="15" hidden="false" customHeight="false" outlineLevel="0" collapsed="false">
      <c r="A8" s="12" t="s">
        <v>198</v>
      </c>
      <c r="B8" s="34" t="n">
        <v>4</v>
      </c>
      <c r="C8" s="12" t="s">
        <v>211</v>
      </c>
      <c r="D8" s="12" t="s">
        <v>212</v>
      </c>
      <c r="E8" s="34" t="n">
        <v>340</v>
      </c>
      <c r="F8" s="34" t="n">
        <v>202</v>
      </c>
      <c r="G8" s="34" t="n">
        <v>138</v>
      </c>
      <c r="H8" s="34" t="n">
        <v>136</v>
      </c>
      <c r="I8" s="34" t="n">
        <v>75</v>
      </c>
      <c r="J8" s="34" t="n">
        <v>23</v>
      </c>
      <c r="K8" s="34" t="n">
        <v>52</v>
      </c>
      <c r="L8" s="34" t="n">
        <v>68</v>
      </c>
      <c r="M8" s="34" t="n">
        <v>56</v>
      </c>
      <c r="N8" s="34" t="n">
        <v>15</v>
      </c>
      <c r="O8" s="34" t="n">
        <v>86</v>
      </c>
      <c r="P8" s="34" t="n">
        <v>10</v>
      </c>
      <c r="Q8" s="34" t="n">
        <v>76</v>
      </c>
      <c r="R8" s="34" t="n">
        <v>8</v>
      </c>
      <c r="S8" s="34" t="n">
        <v>6</v>
      </c>
      <c r="T8" s="34" t="n">
        <v>1427</v>
      </c>
      <c r="U8" s="34" t="n">
        <v>39</v>
      </c>
      <c r="V8" s="34" t="n">
        <v>8</v>
      </c>
      <c r="W8" s="34" t="n">
        <v>50</v>
      </c>
      <c r="X8" s="34" t="n">
        <v>10</v>
      </c>
      <c r="Y8" s="34" t="n">
        <v>19</v>
      </c>
      <c r="Z8" s="34" t="n">
        <v>21</v>
      </c>
      <c r="AA8" s="34" t="n">
        <v>38</v>
      </c>
      <c r="AB8" s="34" t="n">
        <v>42</v>
      </c>
      <c r="AC8" s="34" t="n">
        <v>19</v>
      </c>
      <c r="AD8" s="34" t="n">
        <v>10</v>
      </c>
      <c r="AE8" s="34" t="n">
        <v>33</v>
      </c>
      <c r="AF8" s="34" t="n">
        <v>83</v>
      </c>
      <c r="AG8" s="34" t="n">
        <v>6</v>
      </c>
      <c r="AH8" s="34" t="n">
        <v>56</v>
      </c>
      <c r="AI8" s="34" t="n">
        <v>21</v>
      </c>
      <c r="AJ8" s="34" t="n">
        <v>101</v>
      </c>
      <c r="AK8" s="34" t="n">
        <v>29</v>
      </c>
      <c r="AL8" s="34" t="n">
        <v>9</v>
      </c>
      <c r="AM8" s="34" t="n">
        <v>9</v>
      </c>
      <c r="AN8" s="34" t="n">
        <v>14</v>
      </c>
      <c r="AO8" s="34" t="n">
        <v>2</v>
      </c>
      <c r="AP8" s="34" t="n">
        <v>54</v>
      </c>
      <c r="AQ8" s="34" t="n">
        <v>46</v>
      </c>
      <c r="AR8" s="34" t="n">
        <v>6</v>
      </c>
      <c r="AS8" s="34" t="n">
        <v>31</v>
      </c>
      <c r="AT8" s="34" t="n">
        <v>17</v>
      </c>
      <c r="AU8" s="34" t="n">
        <v>10</v>
      </c>
      <c r="AV8" s="34" t="n">
        <v>4</v>
      </c>
      <c r="AW8" s="34" t="n">
        <v>1</v>
      </c>
      <c r="AX8" s="34" t="n">
        <v>39</v>
      </c>
      <c r="AY8" s="34" t="n">
        <v>15</v>
      </c>
      <c r="AZ8" s="34" t="n">
        <v>66</v>
      </c>
      <c r="BA8" s="34" t="n">
        <v>65</v>
      </c>
      <c r="BB8" s="34" t="n">
        <v>32</v>
      </c>
      <c r="BC8" s="34" t="n">
        <v>52</v>
      </c>
      <c r="BD8" s="34" t="n">
        <v>84</v>
      </c>
      <c r="BE8" s="34" t="n">
        <v>54</v>
      </c>
      <c r="BF8" s="34" t="n">
        <v>55</v>
      </c>
      <c r="BG8" s="34" t="n">
        <v>60</v>
      </c>
      <c r="BH8" s="34" t="n">
        <v>106</v>
      </c>
      <c r="BI8" s="34" t="n">
        <v>116</v>
      </c>
      <c r="BJ8" s="34" t="n">
        <v>222</v>
      </c>
      <c r="BK8" s="34" t="n">
        <v>27</v>
      </c>
      <c r="BL8" s="34" t="n">
        <v>23</v>
      </c>
    </row>
    <row r="9" customFormat="false" ht="15" hidden="false" customHeight="false" outlineLevel="0" collapsed="false">
      <c r="A9" s="12" t="s">
        <v>199</v>
      </c>
      <c r="B9" s="34" t="n">
        <v>5</v>
      </c>
      <c r="C9" s="12" t="s">
        <v>211</v>
      </c>
      <c r="D9" s="12" t="s">
        <v>212</v>
      </c>
      <c r="E9" s="34" t="n">
        <v>309</v>
      </c>
      <c r="F9" s="34" t="n">
        <v>192</v>
      </c>
      <c r="G9" s="34" t="n">
        <v>117</v>
      </c>
      <c r="H9" s="34" t="n">
        <v>125</v>
      </c>
      <c r="I9" s="34" t="n">
        <v>78</v>
      </c>
      <c r="J9" s="34" t="n">
        <v>15</v>
      </c>
      <c r="K9" s="34" t="n">
        <v>63</v>
      </c>
      <c r="L9" s="34" t="n">
        <v>68</v>
      </c>
      <c r="M9" s="34" t="n">
        <v>28</v>
      </c>
      <c r="N9" s="34" t="n">
        <v>10</v>
      </c>
      <c r="O9" s="34" t="n">
        <v>80</v>
      </c>
      <c r="P9" s="34" t="n">
        <v>14</v>
      </c>
      <c r="Q9" s="34" t="n">
        <v>66</v>
      </c>
      <c r="R9" s="34" t="n">
        <v>15</v>
      </c>
      <c r="S9" s="34" t="n">
        <v>14</v>
      </c>
      <c r="T9" s="34" t="n">
        <v>1480</v>
      </c>
      <c r="U9" s="34" t="n">
        <v>27</v>
      </c>
      <c r="V9" s="34" t="n">
        <v>4</v>
      </c>
      <c r="W9" s="34" t="n">
        <v>40</v>
      </c>
      <c r="X9" s="34" t="n">
        <v>16</v>
      </c>
      <c r="Y9" s="34" t="n">
        <v>14</v>
      </c>
      <c r="Z9" s="34" t="n">
        <v>10</v>
      </c>
      <c r="AA9" s="34" t="n">
        <v>51</v>
      </c>
      <c r="AB9" s="34" t="n">
        <v>31</v>
      </c>
      <c r="AC9" s="34" t="n">
        <v>29</v>
      </c>
      <c r="AD9" s="34" t="n">
        <v>13</v>
      </c>
      <c r="AE9" s="34" t="n">
        <v>38</v>
      </c>
      <c r="AF9" s="34" t="n">
        <v>65</v>
      </c>
      <c r="AG9" s="34" t="n">
        <v>2</v>
      </c>
      <c r="AH9" s="34" t="n">
        <v>45</v>
      </c>
      <c r="AI9" s="34" t="n">
        <v>18</v>
      </c>
      <c r="AJ9" s="34" t="n">
        <v>112</v>
      </c>
      <c r="AK9" s="34" t="n">
        <v>41</v>
      </c>
      <c r="AL9" s="34" t="n">
        <v>13</v>
      </c>
      <c r="AM9" s="34" t="n">
        <v>3</v>
      </c>
      <c r="AN9" s="34" t="n">
        <v>13</v>
      </c>
      <c r="AO9" s="34" t="n">
        <v>8</v>
      </c>
      <c r="AP9" s="34" t="n">
        <v>55</v>
      </c>
      <c r="AQ9" s="34" t="n">
        <v>42</v>
      </c>
      <c r="AR9" s="34" t="n">
        <v>8</v>
      </c>
      <c r="AS9" s="34" t="n">
        <v>40</v>
      </c>
      <c r="AT9" s="34" t="n">
        <v>7</v>
      </c>
      <c r="AU9" s="34" t="n">
        <v>17</v>
      </c>
      <c r="AV9" s="34" t="n">
        <v>14</v>
      </c>
      <c r="AW9" s="34" t="n">
        <v>0</v>
      </c>
      <c r="AX9" s="34" t="n">
        <v>60</v>
      </c>
      <c r="AY9" s="34" t="n">
        <v>31</v>
      </c>
      <c r="AZ9" s="34" t="n">
        <v>54</v>
      </c>
      <c r="BA9" s="34" t="n">
        <v>70</v>
      </c>
      <c r="BB9" s="34" t="n">
        <v>59</v>
      </c>
      <c r="BC9" s="34" t="n">
        <v>60</v>
      </c>
      <c r="BD9" s="34" t="n">
        <v>86</v>
      </c>
      <c r="BE9" s="34" t="n">
        <v>63</v>
      </c>
      <c r="BF9" s="34" t="n">
        <v>61</v>
      </c>
      <c r="BG9" s="34" t="n">
        <v>69</v>
      </c>
      <c r="BH9" s="34" t="n">
        <v>115</v>
      </c>
      <c r="BI9" s="34" t="n">
        <v>101</v>
      </c>
      <c r="BJ9" s="34" t="n">
        <v>216</v>
      </c>
      <c r="BK9" s="34" t="n">
        <v>25</v>
      </c>
      <c r="BL9" s="34" t="n">
        <v>19</v>
      </c>
    </row>
    <row r="10" customFormat="false" ht="15" hidden="false" customHeight="false" outlineLevel="0" collapsed="false">
      <c r="A10" s="12" t="s">
        <v>186</v>
      </c>
      <c r="B10" s="34" t="n">
        <v>6</v>
      </c>
      <c r="C10" s="12" t="s">
        <v>211</v>
      </c>
      <c r="D10" s="12" t="s">
        <v>212</v>
      </c>
      <c r="E10" s="34" t="n">
        <v>346</v>
      </c>
      <c r="F10" s="34" t="n">
        <v>217</v>
      </c>
      <c r="G10" s="34" t="n">
        <v>129</v>
      </c>
      <c r="H10" s="34" t="n">
        <v>130</v>
      </c>
      <c r="I10" s="34" t="n">
        <v>79</v>
      </c>
      <c r="J10" s="34" t="n">
        <v>28</v>
      </c>
      <c r="K10" s="34" t="n">
        <v>51</v>
      </c>
      <c r="L10" s="34" t="n">
        <v>56</v>
      </c>
      <c r="M10" s="34" t="n">
        <v>46</v>
      </c>
      <c r="N10" s="34" t="n">
        <v>12</v>
      </c>
      <c r="O10" s="34" t="n">
        <v>102</v>
      </c>
      <c r="P10" s="34" t="n">
        <v>13</v>
      </c>
      <c r="Q10" s="34" t="n">
        <v>89</v>
      </c>
      <c r="R10" s="34" t="n">
        <v>16</v>
      </c>
      <c r="S10" s="34" t="n">
        <v>11</v>
      </c>
      <c r="T10" s="34" t="n">
        <v>1650</v>
      </c>
      <c r="U10" s="34" t="n">
        <v>64</v>
      </c>
      <c r="V10" s="34" t="n">
        <v>12</v>
      </c>
      <c r="W10" s="34" t="n">
        <v>49</v>
      </c>
      <c r="X10" s="34" t="n">
        <v>8</v>
      </c>
      <c r="Y10" s="34" t="n">
        <v>25</v>
      </c>
      <c r="Z10" s="34" t="n">
        <v>16</v>
      </c>
      <c r="AA10" s="34" t="n">
        <v>42</v>
      </c>
      <c r="AB10" s="34" t="n">
        <v>34</v>
      </c>
      <c r="AC10" s="34" t="n">
        <v>15</v>
      </c>
      <c r="AD10" s="34" t="n">
        <v>12</v>
      </c>
      <c r="AE10" s="34" t="n">
        <v>35</v>
      </c>
      <c r="AF10" s="34" t="n">
        <v>66</v>
      </c>
      <c r="AG10" s="34" t="n">
        <v>1</v>
      </c>
      <c r="AH10" s="34" t="n">
        <v>44</v>
      </c>
      <c r="AI10" s="34" t="n">
        <v>21</v>
      </c>
      <c r="AJ10" s="34" t="n">
        <v>118</v>
      </c>
      <c r="AK10" s="34" t="n">
        <v>25</v>
      </c>
      <c r="AL10" s="34" t="n">
        <v>6</v>
      </c>
      <c r="AM10" s="34" t="n">
        <v>10</v>
      </c>
      <c r="AN10" s="34" t="n">
        <v>16</v>
      </c>
      <c r="AO10" s="34" t="n">
        <v>2</v>
      </c>
      <c r="AP10" s="34" t="n">
        <v>77</v>
      </c>
      <c r="AQ10" s="34" t="n">
        <v>51</v>
      </c>
      <c r="AR10" s="34" t="n">
        <v>14</v>
      </c>
      <c r="AS10" s="34" t="n">
        <v>56</v>
      </c>
      <c r="AT10" s="34" t="n">
        <v>7</v>
      </c>
      <c r="AU10" s="34" t="n">
        <v>15</v>
      </c>
      <c r="AV10" s="34" t="n">
        <v>6</v>
      </c>
      <c r="AW10" s="34" t="n">
        <v>1</v>
      </c>
      <c r="AX10" s="34" t="n">
        <v>52</v>
      </c>
      <c r="AY10" s="34" t="n">
        <v>22</v>
      </c>
      <c r="AZ10" s="34" t="n">
        <v>68</v>
      </c>
      <c r="BA10" s="34" t="n">
        <v>68</v>
      </c>
      <c r="BB10" s="34" t="n">
        <v>55</v>
      </c>
      <c r="BC10" s="34" t="n">
        <v>65</v>
      </c>
      <c r="BD10" s="34" t="n">
        <v>75</v>
      </c>
      <c r="BE10" s="34" t="n">
        <v>55</v>
      </c>
      <c r="BF10" s="34" t="n">
        <v>47</v>
      </c>
      <c r="BG10" s="34" t="n">
        <v>75</v>
      </c>
      <c r="BH10" s="34" t="n">
        <v>140</v>
      </c>
      <c r="BI10" s="34" t="n">
        <v>97</v>
      </c>
      <c r="BJ10" s="34" t="n">
        <v>237</v>
      </c>
      <c r="BK10" s="34" t="n">
        <v>27</v>
      </c>
      <c r="BL10" s="34" t="n">
        <v>16</v>
      </c>
    </row>
    <row r="11" customFormat="false" ht="15" hidden="false" customHeight="false" outlineLevel="0" collapsed="false">
      <c r="A11" s="12" t="s">
        <v>203</v>
      </c>
      <c r="B11" s="34" t="n">
        <v>7</v>
      </c>
      <c r="C11" s="12" t="s">
        <v>211</v>
      </c>
      <c r="D11" s="12" t="s">
        <v>213</v>
      </c>
      <c r="E11" s="34" t="n">
        <v>268</v>
      </c>
      <c r="F11" s="34" t="n">
        <v>174</v>
      </c>
      <c r="G11" s="34" t="n">
        <v>94</v>
      </c>
      <c r="H11" s="34" t="n">
        <v>98</v>
      </c>
      <c r="I11" s="34" t="n">
        <v>57</v>
      </c>
      <c r="J11" s="34" t="n">
        <v>18</v>
      </c>
      <c r="K11" s="34" t="n">
        <v>39</v>
      </c>
      <c r="L11" s="34" t="n">
        <v>57</v>
      </c>
      <c r="M11" s="34" t="n">
        <v>34</v>
      </c>
      <c r="N11" s="34" t="n">
        <v>7</v>
      </c>
      <c r="O11" s="34" t="n">
        <v>84</v>
      </c>
      <c r="P11" s="34" t="n">
        <v>15</v>
      </c>
      <c r="Q11" s="34" t="n">
        <v>69</v>
      </c>
      <c r="R11" s="34" t="n">
        <v>13</v>
      </c>
      <c r="S11" s="34" t="n">
        <v>8</v>
      </c>
      <c r="T11" s="34" t="n">
        <v>1131</v>
      </c>
      <c r="U11" s="34" t="n">
        <v>38</v>
      </c>
      <c r="V11" s="34" t="n">
        <v>2</v>
      </c>
      <c r="W11" s="34" t="n">
        <v>31</v>
      </c>
      <c r="X11" s="34" t="n">
        <v>11</v>
      </c>
      <c r="Y11" s="34" t="n">
        <v>9</v>
      </c>
      <c r="Z11" s="34" t="n">
        <v>11</v>
      </c>
      <c r="AA11" s="34" t="n">
        <v>33</v>
      </c>
      <c r="AB11" s="34" t="n">
        <v>40</v>
      </c>
      <c r="AC11" s="34" t="n">
        <v>12</v>
      </c>
      <c r="AD11" s="34" t="n">
        <v>14</v>
      </c>
      <c r="AE11" s="34" t="n">
        <v>28</v>
      </c>
      <c r="AF11" s="34" t="n">
        <v>69</v>
      </c>
      <c r="AG11" s="34" t="n">
        <v>12</v>
      </c>
      <c r="AH11" s="34" t="n">
        <v>40</v>
      </c>
      <c r="AI11" s="34" t="n">
        <v>17</v>
      </c>
      <c r="AJ11" s="34" t="n">
        <v>91</v>
      </c>
      <c r="AK11" s="34" t="n">
        <v>37</v>
      </c>
      <c r="AL11" s="34" t="n">
        <v>12</v>
      </c>
      <c r="AM11" s="34" t="n">
        <v>5</v>
      </c>
      <c r="AN11" s="34" t="n">
        <v>11</v>
      </c>
      <c r="AO11" s="34" t="n">
        <v>11</v>
      </c>
      <c r="AP11" s="34" t="n">
        <v>37</v>
      </c>
      <c r="AQ11" s="34" t="n">
        <v>24</v>
      </c>
      <c r="AR11" s="34" t="n">
        <v>8</v>
      </c>
      <c r="AS11" s="34" t="n">
        <v>19</v>
      </c>
      <c r="AT11" s="34" t="n">
        <v>10</v>
      </c>
      <c r="AU11" s="34" t="n">
        <v>5</v>
      </c>
      <c r="AV11" s="34" t="n">
        <v>5</v>
      </c>
      <c r="AW11" s="34" t="n">
        <v>1</v>
      </c>
      <c r="AX11" s="34" t="n">
        <v>33</v>
      </c>
      <c r="AY11" s="34" t="n">
        <v>11</v>
      </c>
      <c r="AZ11" s="34" t="n">
        <v>45</v>
      </c>
      <c r="BA11" s="34" t="n">
        <v>65</v>
      </c>
      <c r="BB11" s="34" t="n">
        <v>33</v>
      </c>
      <c r="BC11" s="34" t="n">
        <v>57</v>
      </c>
      <c r="BD11" s="34" t="n">
        <v>79</v>
      </c>
      <c r="BE11" s="34" t="n">
        <v>45</v>
      </c>
      <c r="BF11" s="34" t="n">
        <v>65</v>
      </c>
      <c r="BG11" s="34" t="n">
        <v>71</v>
      </c>
      <c r="BH11" s="34" t="n">
        <v>99</v>
      </c>
      <c r="BI11" s="34" t="n">
        <v>75</v>
      </c>
      <c r="BJ11" s="34" t="n">
        <v>174</v>
      </c>
      <c r="BK11" s="34" t="n">
        <v>14</v>
      </c>
      <c r="BL11" s="34" t="n">
        <v>26</v>
      </c>
    </row>
    <row r="12" customFormat="false" ht="15" hidden="false" customHeight="false" outlineLevel="0" collapsed="false">
      <c r="A12" s="12" t="s">
        <v>193</v>
      </c>
      <c r="B12" s="34" t="n">
        <v>8</v>
      </c>
      <c r="C12" s="12" t="s">
        <v>211</v>
      </c>
      <c r="D12" s="12" t="s">
        <v>213</v>
      </c>
      <c r="E12" s="34" t="n">
        <v>327</v>
      </c>
      <c r="F12" s="34" t="n">
        <v>231</v>
      </c>
      <c r="G12" s="34" t="n">
        <v>96</v>
      </c>
      <c r="H12" s="34" t="n">
        <v>108</v>
      </c>
      <c r="I12" s="34" t="n">
        <v>55</v>
      </c>
      <c r="J12" s="34" t="n">
        <v>23</v>
      </c>
      <c r="K12" s="34" t="n">
        <v>32</v>
      </c>
      <c r="L12" s="34" t="n">
        <v>61</v>
      </c>
      <c r="M12" s="34" t="n">
        <v>77</v>
      </c>
      <c r="N12" s="34" t="n">
        <v>5</v>
      </c>
      <c r="O12" s="34" t="n">
        <v>105</v>
      </c>
      <c r="P12" s="34" t="n">
        <v>15</v>
      </c>
      <c r="Q12" s="34" t="n">
        <v>90</v>
      </c>
      <c r="R12" s="34" t="n">
        <v>13</v>
      </c>
      <c r="S12" s="34" t="n">
        <v>7</v>
      </c>
      <c r="T12" s="34" t="n">
        <v>1540</v>
      </c>
      <c r="U12" s="34" t="n">
        <v>33</v>
      </c>
      <c r="V12" s="34" t="n">
        <v>4</v>
      </c>
      <c r="W12" s="34" t="n">
        <v>41</v>
      </c>
      <c r="X12" s="34" t="n">
        <v>13</v>
      </c>
      <c r="Y12" s="34" t="n">
        <v>16</v>
      </c>
      <c r="Z12" s="34" t="n">
        <v>12</v>
      </c>
      <c r="AA12" s="34" t="n">
        <v>47</v>
      </c>
      <c r="AB12" s="34" t="n">
        <v>38</v>
      </c>
      <c r="AC12" s="34" t="n">
        <v>12</v>
      </c>
      <c r="AD12" s="34" t="n">
        <v>19</v>
      </c>
      <c r="AE12" s="34" t="n">
        <v>48</v>
      </c>
      <c r="AF12" s="34" t="n">
        <v>63</v>
      </c>
      <c r="AG12" s="34" t="n">
        <v>4</v>
      </c>
      <c r="AH12" s="34" t="n">
        <v>38</v>
      </c>
      <c r="AI12" s="34" t="n">
        <v>21</v>
      </c>
      <c r="AJ12" s="34" t="n">
        <v>123</v>
      </c>
      <c r="AK12" s="34" t="n">
        <v>39</v>
      </c>
      <c r="AL12" s="34" t="n">
        <v>11</v>
      </c>
      <c r="AM12" s="34" t="n">
        <v>7</v>
      </c>
      <c r="AN12" s="34" t="n">
        <v>20</v>
      </c>
      <c r="AO12" s="34" t="n">
        <v>6</v>
      </c>
      <c r="AP12" s="34" t="n">
        <v>66</v>
      </c>
      <c r="AQ12" s="34" t="n">
        <v>47</v>
      </c>
      <c r="AR12" s="34" t="n">
        <v>16</v>
      </c>
      <c r="AS12" s="34" t="n">
        <v>40</v>
      </c>
      <c r="AT12" s="34" t="n">
        <v>10</v>
      </c>
      <c r="AU12" s="34" t="n">
        <v>11</v>
      </c>
      <c r="AV12" s="34" t="n">
        <v>7</v>
      </c>
      <c r="AW12" s="34" t="n">
        <v>0</v>
      </c>
      <c r="AX12" s="34" t="n">
        <v>38</v>
      </c>
      <c r="AY12" s="34" t="n">
        <v>18</v>
      </c>
      <c r="AZ12" s="34" t="n">
        <v>61</v>
      </c>
      <c r="BA12" s="34" t="n">
        <v>68</v>
      </c>
      <c r="BB12" s="34" t="n">
        <v>43</v>
      </c>
      <c r="BC12" s="34" t="n">
        <v>65</v>
      </c>
      <c r="BD12" s="34" t="n">
        <v>75</v>
      </c>
      <c r="BE12" s="34" t="n">
        <v>68</v>
      </c>
      <c r="BF12" s="34" t="n">
        <v>66</v>
      </c>
      <c r="BG12" s="34" t="n">
        <v>74</v>
      </c>
      <c r="BH12" s="34" t="n">
        <v>151</v>
      </c>
      <c r="BI12" s="34" t="n">
        <v>72</v>
      </c>
      <c r="BJ12" s="34" t="n">
        <v>223</v>
      </c>
      <c r="BK12" s="34" t="n">
        <v>28</v>
      </c>
      <c r="BL12" s="34" t="n">
        <v>25</v>
      </c>
    </row>
    <row r="13" customFormat="false" ht="15" hidden="false" customHeight="false" outlineLevel="0" collapsed="false">
      <c r="A13" s="12" t="s">
        <v>202</v>
      </c>
      <c r="B13" s="34" t="n">
        <v>9</v>
      </c>
      <c r="C13" s="12" t="s">
        <v>211</v>
      </c>
      <c r="D13" s="12" t="s">
        <v>213</v>
      </c>
      <c r="E13" s="34" t="n">
        <v>266</v>
      </c>
      <c r="F13" s="34" t="n">
        <v>152</v>
      </c>
      <c r="G13" s="34" t="n">
        <v>114</v>
      </c>
      <c r="H13" s="34" t="n">
        <v>111</v>
      </c>
      <c r="I13" s="34" t="n">
        <v>64</v>
      </c>
      <c r="J13" s="34" t="n">
        <v>27</v>
      </c>
      <c r="K13" s="34" t="n">
        <v>37</v>
      </c>
      <c r="L13" s="34" t="n">
        <v>68</v>
      </c>
      <c r="M13" s="34" t="n">
        <v>41</v>
      </c>
      <c r="N13" s="34" t="n">
        <v>9</v>
      </c>
      <c r="O13" s="34" t="n">
        <v>61</v>
      </c>
      <c r="P13" s="34" t="n">
        <v>9</v>
      </c>
      <c r="Q13" s="34" t="n">
        <v>52</v>
      </c>
      <c r="R13" s="34" t="n">
        <v>9</v>
      </c>
      <c r="S13" s="34" t="n">
        <v>7</v>
      </c>
      <c r="T13" s="34" t="n">
        <v>1179</v>
      </c>
      <c r="U13" s="34" t="n">
        <v>46</v>
      </c>
      <c r="V13" s="34" t="n">
        <v>5</v>
      </c>
      <c r="W13" s="34" t="n">
        <v>32</v>
      </c>
      <c r="X13" s="34" t="n">
        <v>10</v>
      </c>
      <c r="Y13" s="34" t="n">
        <v>14</v>
      </c>
      <c r="Z13" s="34" t="n">
        <v>8</v>
      </c>
      <c r="AA13" s="34" t="n">
        <v>30</v>
      </c>
      <c r="AB13" s="34" t="n">
        <v>39</v>
      </c>
      <c r="AC13" s="34" t="n">
        <v>27</v>
      </c>
      <c r="AD13" s="34" t="n">
        <v>10</v>
      </c>
      <c r="AE13" s="34" t="n">
        <v>62</v>
      </c>
      <c r="AF13" s="34" t="n">
        <v>77</v>
      </c>
      <c r="AG13" s="34" t="n">
        <v>12</v>
      </c>
      <c r="AH13" s="34" t="n">
        <v>46</v>
      </c>
      <c r="AI13" s="34" t="n">
        <v>19</v>
      </c>
      <c r="AJ13" s="34" t="n">
        <v>128</v>
      </c>
      <c r="AK13" s="34" t="n">
        <v>43</v>
      </c>
      <c r="AL13" s="34" t="n">
        <v>24</v>
      </c>
      <c r="AM13" s="34" t="n">
        <v>4</v>
      </c>
      <c r="AN13" s="34" t="n">
        <v>26</v>
      </c>
      <c r="AO13" s="34" t="n">
        <v>6</v>
      </c>
      <c r="AP13" s="34" t="n">
        <v>57</v>
      </c>
      <c r="AQ13" s="34" t="n">
        <v>36</v>
      </c>
      <c r="AR13" s="34" t="n">
        <v>4</v>
      </c>
      <c r="AS13" s="34" t="n">
        <v>36</v>
      </c>
      <c r="AT13" s="34" t="n">
        <v>17</v>
      </c>
      <c r="AU13" s="34" t="n">
        <v>6</v>
      </c>
      <c r="AV13" s="34" t="n">
        <v>3</v>
      </c>
      <c r="AW13" s="34" t="n">
        <v>1</v>
      </c>
      <c r="AX13" s="34" t="n">
        <v>33</v>
      </c>
      <c r="AY13" s="34" t="n">
        <v>10</v>
      </c>
      <c r="AZ13" s="34" t="n">
        <v>60</v>
      </c>
      <c r="BA13" s="34" t="n">
        <v>66</v>
      </c>
      <c r="BB13" s="34" t="n">
        <v>47</v>
      </c>
      <c r="BC13" s="34" t="n">
        <v>59</v>
      </c>
      <c r="BD13" s="34" t="n">
        <v>74</v>
      </c>
      <c r="BE13" s="34" t="n">
        <v>53</v>
      </c>
      <c r="BF13" s="34" t="n">
        <v>64</v>
      </c>
      <c r="BG13" s="34" t="n">
        <v>60</v>
      </c>
      <c r="BH13" s="34" t="n">
        <v>90</v>
      </c>
      <c r="BI13" s="34" t="n">
        <v>85</v>
      </c>
      <c r="BJ13" s="34" t="n">
        <v>175</v>
      </c>
      <c r="BK13" s="34" t="n">
        <v>17</v>
      </c>
      <c r="BL13" s="34" t="n">
        <v>25</v>
      </c>
    </row>
    <row r="14" customFormat="false" ht="15" hidden="false" customHeight="false" outlineLevel="0" collapsed="false">
      <c r="A14" s="12" t="s">
        <v>196</v>
      </c>
      <c r="B14" s="34" t="n">
        <v>10</v>
      </c>
      <c r="C14" s="12" t="s">
        <v>211</v>
      </c>
      <c r="D14" s="12" t="s">
        <v>212</v>
      </c>
      <c r="E14" s="34" t="n">
        <v>275</v>
      </c>
      <c r="F14" s="34" t="n">
        <v>172</v>
      </c>
      <c r="G14" s="34" t="n">
        <v>103</v>
      </c>
      <c r="H14" s="34" t="n">
        <v>113</v>
      </c>
      <c r="I14" s="34" t="n">
        <v>58</v>
      </c>
      <c r="J14" s="34" t="n">
        <v>26</v>
      </c>
      <c r="K14" s="34" t="n">
        <v>32</v>
      </c>
      <c r="L14" s="34" t="n">
        <v>56</v>
      </c>
      <c r="M14" s="34" t="n">
        <v>57</v>
      </c>
      <c r="N14" s="34" t="n">
        <v>9</v>
      </c>
      <c r="O14" s="34" t="n">
        <v>64</v>
      </c>
      <c r="P14" s="34" t="n">
        <v>10</v>
      </c>
      <c r="Q14" s="34" t="n">
        <v>54</v>
      </c>
      <c r="R14" s="34" t="n">
        <v>9</v>
      </c>
      <c r="S14" s="34" t="n">
        <v>7</v>
      </c>
      <c r="T14" s="34" t="n">
        <v>1278</v>
      </c>
      <c r="U14" s="34" t="n">
        <v>56</v>
      </c>
      <c r="V14" s="34" t="n">
        <v>8</v>
      </c>
      <c r="W14" s="34" t="n">
        <v>49</v>
      </c>
      <c r="X14" s="34" t="n">
        <v>8</v>
      </c>
      <c r="Y14" s="34" t="n">
        <v>25</v>
      </c>
      <c r="Z14" s="34" t="n">
        <v>16</v>
      </c>
      <c r="AA14" s="34" t="n">
        <v>37</v>
      </c>
      <c r="AB14" s="34" t="n">
        <v>40</v>
      </c>
      <c r="AC14" s="34" t="n">
        <v>22</v>
      </c>
      <c r="AD14" s="34" t="n">
        <v>15</v>
      </c>
      <c r="AE14" s="34" t="n">
        <v>49</v>
      </c>
      <c r="AF14" s="34" t="n">
        <v>76</v>
      </c>
      <c r="AG14" s="34" t="n">
        <v>8</v>
      </c>
      <c r="AH14" s="34" t="n">
        <v>43</v>
      </c>
      <c r="AI14" s="34" t="n">
        <v>25</v>
      </c>
      <c r="AJ14" s="34" t="n">
        <v>122</v>
      </c>
      <c r="AK14" s="34" t="n">
        <v>45</v>
      </c>
      <c r="AL14" s="34" t="n">
        <v>13</v>
      </c>
      <c r="AM14" s="34" t="n">
        <v>1</v>
      </c>
      <c r="AN14" s="34" t="n">
        <v>26</v>
      </c>
      <c r="AO14" s="34" t="n">
        <v>9</v>
      </c>
      <c r="AP14" s="34" t="n">
        <v>63</v>
      </c>
      <c r="AQ14" s="34" t="n">
        <v>47</v>
      </c>
      <c r="AR14" s="34" t="n">
        <v>10</v>
      </c>
      <c r="AS14" s="34" t="n">
        <v>31</v>
      </c>
      <c r="AT14" s="34" t="n">
        <v>22</v>
      </c>
      <c r="AU14" s="34" t="n">
        <v>9</v>
      </c>
      <c r="AV14" s="34" t="n">
        <v>6</v>
      </c>
      <c r="AW14" s="34" t="n">
        <v>1</v>
      </c>
      <c r="AX14" s="34" t="n">
        <v>43</v>
      </c>
      <c r="AY14" s="34" t="n">
        <v>16</v>
      </c>
      <c r="AZ14" s="34" t="n">
        <v>56</v>
      </c>
      <c r="BA14" s="34" t="n">
        <v>63</v>
      </c>
      <c r="BB14" s="34" t="n">
        <v>35</v>
      </c>
      <c r="BC14" s="34" t="n">
        <v>53</v>
      </c>
      <c r="BD14" s="34" t="n">
        <v>78</v>
      </c>
      <c r="BE14" s="34" t="n">
        <v>47</v>
      </c>
      <c r="BF14" s="34" t="n">
        <v>38</v>
      </c>
      <c r="BG14" s="34" t="n">
        <v>73</v>
      </c>
      <c r="BH14" s="34" t="n">
        <v>91</v>
      </c>
      <c r="BI14" s="34" t="n">
        <v>81</v>
      </c>
      <c r="BJ14" s="34" t="n">
        <v>172</v>
      </c>
      <c r="BK14" s="34" t="n">
        <v>23</v>
      </c>
      <c r="BL14" s="34" t="n">
        <v>15</v>
      </c>
    </row>
    <row r="15" customFormat="false" ht="15" hidden="false" customHeight="false" outlineLevel="0" collapsed="false">
      <c r="A15" s="12" t="s">
        <v>197</v>
      </c>
      <c r="B15" s="34" t="n">
        <v>11</v>
      </c>
      <c r="C15" s="12" t="s">
        <v>211</v>
      </c>
      <c r="D15" s="12" t="s">
        <v>212</v>
      </c>
      <c r="E15" s="34" t="n">
        <v>331</v>
      </c>
      <c r="F15" s="34" t="n">
        <v>211</v>
      </c>
      <c r="G15" s="34" t="n">
        <v>120</v>
      </c>
      <c r="H15" s="34" t="n">
        <v>142</v>
      </c>
      <c r="I15" s="34" t="n">
        <v>87</v>
      </c>
      <c r="J15" s="34" t="n">
        <v>42</v>
      </c>
      <c r="K15" s="34" t="n">
        <v>45</v>
      </c>
      <c r="L15" s="34" t="n">
        <v>65</v>
      </c>
      <c r="M15" s="34" t="n">
        <v>48</v>
      </c>
      <c r="N15" s="34" t="n">
        <v>17</v>
      </c>
      <c r="O15" s="34" t="n">
        <v>89</v>
      </c>
      <c r="P15" s="34" t="n">
        <v>13</v>
      </c>
      <c r="Q15" s="34" t="n">
        <v>76</v>
      </c>
      <c r="R15" s="34" t="n">
        <v>16</v>
      </c>
      <c r="S15" s="34" t="n">
        <v>13</v>
      </c>
      <c r="T15" s="34" t="n">
        <v>1593</v>
      </c>
      <c r="U15" s="34" t="n">
        <v>43</v>
      </c>
      <c r="V15" s="34" t="n">
        <v>8</v>
      </c>
      <c r="W15" s="34" t="n">
        <v>52</v>
      </c>
      <c r="X15" s="34" t="n">
        <v>8</v>
      </c>
      <c r="Y15" s="34" t="n">
        <v>30</v>
      </c>
      <c r="Z15" s="34" t="n">
        <v>14</v>
      </c>
      <c r="AA15" s="34" t="n">
        <v>56</v>
      </c>
      <c r="AB15" s="34" t="n">
        <v>31</v>
      </c>
      <c r="AC15" s="34" t="n">
        <v>24</v>
      </c>
      <c r="AD15" s="34" t="n">
        <v>12</v>
      </c>
      <c r="AE15" s="34" t="n">
        <v>47</v>
      </c>
      <c r="AF15" s="34" t="n">
        <v>86</v>
      </c>
      <c r="AG15" s="34" t="n">
        <v>4</v>
      </c>
      <c r="AH15" s="34" t="n">
        <v>44</v>
      </c>
      <c r="AI15" s="34" t="n">
        <v>38</v>
      </c>
      <c r="AJ15" s="34" t="n">
        <v>150</v>
      </c>
      <c r="AK15" s="34" t="n">
        <v>46</v>
      </c>
      <c r="AL15" s="34" t="n">
        <v>15</v>
      </c>
      <c r="AM15" s="34" t="n">
        <v>8</v>
      </c>
      <c r="AN15" s="34" t="n">
        <v>19</v>
      </c>
      <c r="AO15" s="34" t="n">
        <v>11</v>
      </c>
      <c r="AP15" s="34" t="n">
        <v>81</v>
      </c>
      <c r="AQ15" s="34" t="n">
        <v>64</v>
      </c>
      <c r="AR15" s="34" t="n">
        <v>13</v>
      </c>
      <c r="AS15" s="34" t="n">
        <v>48</v>
      </c>
      <c r="AT15" s="34" t="n">
        <v>20</v>
      </c>
      <c r="AU15" s="34" t="n">
        <v>12</v>
      </c>
      <c r="AV15" s="34" t="n">
        <v>10</v>
      </c>
      <c r="AW15" s="34" t="n">
        <v>1</v>
      </c>
      <c r="AX15" s="34" t="n">
        <v>41</v>
      </c>
      <c r="AY15" s="34" t="n">
        <v>23</v>
      </c>
      <c r="AZ15" s="34" t="n">
        <v>52</v>
      </c>
      <c r="BA15" s="34" t="n">
        <v>65</v>
      </c>
      <c r="BB15" s="34" t="n">
        <v>45</v>
      </c>
      <c r="BC15" s="34" t="n">
        <v>59</v>
      </c>
      <c r="BD15" s="34" t="n">
        <v>75</v>
      </c>
      <c r="BE15" s="34" t="n">
        <v>46</v>
      </c>
      <c r="BF15" s="34" t="n">
        <v>74</v>
      </c>
      <c r="BG15" s="34" t="n">
        <v>100</v>
      </c>
      <c r="BH15" s="34" t="n">
        <v>124</v>
      </c>
      <c r="BI15" s="34" t="n">
        <v>91</v>
      </c>
      <c r="BJ15" s="34" t="n">
        <v>215</v>
      </c>
      <c r="BK15" s="34" t="n">
        <v>24</v>
      </c>
      <c r="BL15" s="34" t="n">
        <v>23</v>
      </c>
    </row>
    <row r="16" customFormat="false" ht="15" hidden="false" customHeight="false" outlineLevel="0" collapsed="false">
      <c r="A16" s="12" t="s">
        <v>201</v>
      </c>
      <c r="B16" s="34" t="n">
        <v>12</v>
      </c>
      <c r="C16" s="12" t="s">
        <v>211</v>
      </c>
      <c r="D16" s="12" t="s">
        <v>213</v>
      </c>
      <c r="E16" s="34" t="n">
        <v>319</v>
      </c>
      <c r="F16" s="34" t="n">
        <v>197</v>
      </c>
      <c r="G16" s="34" t="n">
        <v>122</v>
      </c>
      <c r="H16" s="34" t="n">
        <v>129</v>
      </c>
      <c r="I16" s="34" t="n">
        <v>89</v>
      </c>
      <c r="J16" s="34" t="n">
        <v>32</v>
      </c>
      <c r="K16" s="34" t="n">
        <v>57</v>
      </c>
      <c r="L16" s="34" t="n">
        <v>59</v>
      </c>
      <c r="M16" s="34" t="n">
        <v>26</v>
      </c>
      <c r="N16" s="34" t="n">
        <v>1</v>
      </c>
      <c r="O16" s="34" t="n">
        <v>96</v>
      </c>
      <c r="P16" s="34" t="n">
        <v>9</v>
      </c>
      <c r="Q16" s="34" t="n">
        <v>87</v>
      </c>
      <c r="R16" s="34" t="n">
        <v>11</v>
      </c>
      <c r="S16" s="34" t="n">
        <v>17</v>
      </c>
      <c r="T16" s="34" t="n">
        <v>1486</v>
      </c>
      <c r="U16" s="34" t="n">
        <v>18</v>
      </c>
      <c r="V16" s="34" t="n">
        <v>2</v>
      </c>
      <c r="W16" s="34" t="n">
        <v>33</v>
      </c>
      <c r="X16" s="34" t="n">
        <v>6</v>
      </c>
      <c r="Y16" s="34" t="n">
        <v>13</v>
      </c>
      <c r="Z16" s="34" t="n">
        <v>14</v>
      </c>
      <c r="AA16" s="34" t="n">
        <v>39</v>
      </c>
      <c r="AB16" s="34" t="n">
        <v>34</v>
      </c>
      <c r="AC16" s="34" t="n">
        <v>17</v>
      </c>
      <c r="AD16" s="34" t="n">
        <v>10</v>
      </c>
      <c r="AE16" s="34" t="n">
        <v>54</v>
      </c>
      <c r="AF16" s="34" t="n">
        <v>62</v>
      </c>
      <c r="AG16" s="34" t="n">
        <v>5</v>
      </c>
      <c r="AH16" s="34" t="n">
        <v>38</v>
      </c>
      <c r="AI16" s="34" t="n">
        <v>19</v>
      </c>
      <c r="AJ16" s="34" t="n">
        <v>138</v>
      </c>
      <c r="AK16" s="34" t="n">
        <v>55</v>
      </c>
      <c r="AL16" s="34" t="n">
        <v>17</v>
      </c>
      <c r="AM16" s="34" t="n">
        <v>8</v>
      </c>
      <c r="AN16" s="34" t="n">
        <v>20</v>
      </c>
      <c r="AO16" s="34" t="n">
        <v>6</v>
      </c>
      <c r="AP16" s="34" t="n">
        <v>58</v>
      </c>
      <c r="AQ16" s="34" t="n">
        <v>43</v>
      </c>
      <c r="AR16" s="34" t="n">
        <v>8</v>
      </c>
      <c r="AS16" s="34" t="n">
        <v>32</v>
      </c>
      <c r="AT16" s="34" t="n">
        <v>18</v>
      </c>
      <c r="AU16" s="34" t="n">
        <v>6</v>
      </c>
      <c r="AV16" s="34" t="n">
        <v>13</v>
      </c>
      <c r="AW16" s="34" t="n">
        <v>3</v>
      </c>
      <c r="AX16" s="34" t="n">
        <v>56</v>
      </c>
      <c r="AY16" s="34" t="n">
        <v>22</v>
      </c>
      <c r="AZ16" s="34" t="n">
        <v>27</v>
      </c>
      <c r="BA16" s="34" t="n">
        <v>71</v>
      </c>
      <c r="BB16" s="34" t="n">
        <v>62</v>
      </c>
      <c r="BC16" s="34" t="n">
        <v>66</v>
      </c>
      <c r="BD16" s="34" t="n">
        <v>78</v>
      </c>
      <c r="BE16" s="34" t="n">
        <v>70</v>
      </c>
      <c r="BF16" s="34" t="n">
        <v>68</v>
      </c>
      <c r="BG16" s="34" t="n">
        <v>90</v>
      </c>
      <c r="BH16" s="34" t="n">
        <v>130</v>
      </c>
      <c r="BI16" s="34" t="n">
        <v>96</v>
      </c>
      <c r="BJ16" s="34" t="n">
        <v>226</v>
      </c>
      <c r="BK16" s="34" t="n">
        <v>23</v>
      </c>
      <c r="BL16" s="34" t="n">
        <v>23</v>
      </c>
    </row>
    <row r="17" customFormat="false" ht="15" hidden="false" customHeight="false" outlineLevel="0" collapsed="false">
      <c r="A17" s="12" t="s">
        <v>194</v>
      </c>
      <c r="B17" s="34" t="n">
        <v>13</v>
      </c>
      <c r="C17" s="12" t="s">
        <v>211</v>
      </c>
      <c r="D17" s="12" t="s">
        <v>212</v>
      </c>
      <c r="E17" s="34" t="n">
        <v>333</v>
      </c>
      <c r="F17" s="34" t="n">
        <v>200</v>
      </c>
      <c r="G17" s="34" t="n">
        <v>133</v>
      </c>
      <c r="H17" s="34" t="n">
        <v>137</v>
      </c>
      <c r="I17" s="34" t="n">
        <v>85</v>
      </c>
      <c r="J17" s="34" t="n">
        <v>35</v>
      </c>
      <c r="K17" s="34" t="n">
        <v>50</v>
      </c>
      <c r="L17" s="34" t="n">
        <v>83</v>
      </c>
      <c r="M17" s="34" t="n">
        <v>30</v>
      </c>
      <c r="N17" s="34" t="n">
        <v>5</v>
      </c>
      <c r="O17" s="34" t="n">
        <v>91</v>
      </c>
      <c r="P17" s="34" t="n">
        <v>14</v>
      </c>
      <c r="Q17" s="34" t="n">
        <v>77</v>
      </c>
      <c r="R17" s="34" t="n">
        <v>17</v>
      </c>
      <c r="S17" s="34" t="n">
        <v>18</v>
      </c>
      <c r="T17" s="34" t="n">
        <v>1516</v>
      </c>
      <c r="U17" s="34" t="n">
        <v>41</v>
      </c>
      <c r="V17" s="34" t="n">
        <v>8</v>
      </c>
      <c r="W17" s="34" t="n">
        <v>38</v>
      </c>
      <c r="X17" s="34" t="n">
        <v>7</v>
      </c>
      <c r="Y17" s="34" t="n">
        <v>20</v>
      </c>
      <c r="Z17" s="34" t="n">
        <v>11</v>
      </c>
      <c r="AA17" s="34" t="n">
        <v>49</v>
      </c>
      <c r="AB17" s="34" t="n">
        <v>35</v>
      </c>
      <c r="AC17" s="34" t="n">
        <v>23</v>
      </c>
      <c r="AD17" s="34" t="n">
        <v>7</v>
      </c>
      <c r="AE17" s="34" t="n">
        <v>22</v>
      </c>
      <c r="AF17" s="34" t="n">
        <v>80</v>
      </c>
      <c r="AG17" s="34" t="n">
        <v>3</v>
      </c>
      <c r="AH17" s="34" t="n">
        <v>48</v>
      </c>
      <c r="AI17" s="34" t="n">
        <v>29</v>
      </c>
      <c r="AJ17" s="34" t="n">
        <v>125</v>
      </c>
      <c r="AK17" s="34" t="n">
        <v>41</v>
      </c>
      <c r="AL17" s="34" t="n">
        <v>11</v>
      </c>
      <c r="AM17" s="34" t="n">
        <v>2</v>
      </c>
      <c r="AN17" s="34" t="n">
        <v>7</v>
      </c>
      <c r="AO17" s="34" t="n">
        <v>8</v>
      </c>
      <c r="AP17" s="34" t="n">
        <v>71</v>
      </c>
      <c r="AQ17" s="34" t="n">
        <v>64</v>
      </c>
      <c r="AR17" s="34" t="n">
        <v>21</v>
      </c>
      <c r="AS17" s="34" t="n">
        <v>40</v>
      </c>
      <c r="AT17" s="34" t="n">
        <v>10</v>
      </c>
      <c r="AU17" s="34" t="n">
        <v>9</v>
      </c>
      <c r="AV17" s="34" t="n">
        <v>8</v>
      </c>
      <c r="AW17" s="34" t="n">
        <v>2</v>
      </c>
      <c r="AX17" s="34" t="n">
        <v>38</v>
      </c>
      <c r="AY17" s="34" t="n">
        <v>19</v>
      </c>
      <c r="AZ17" s="34" t="n">
        <v>47</v>
      </c>
      <c r="BA17" s="34" t="n">
        <v>66</v>
      </c>
      <c r="BB17" s="34" t="n">
        <v>55</v>
      </c>
      <c r="BC17" s="34" t="n">
        <v>60</v>
      </c>
      <c r="BD17" s="34" t="n">
        <v>75</v>
      </c>
      <c r="BE17" s="34" t="n">
        <v>50</v>
      </c>
      <c r="BF17" s="34" t="n">
        <v>71</v>
      </c>
      <c r="BG17" s="34" t="n">
        <v>86</v>
      </c>
      <c r="BH17" s="34" t="n">
        <v>120</v>
      </c>
      <c r="BI17" s="34" t="n">
        <v>101</v>
      </c>
      <c r="BJ17" s="34" t="n">
        <v>221</v>
      </c>
      <c r="BK17" s="34" t="n">
        <v>19</v>
      </c>
      <c r="BL17" s="34" t="n">
        <v>25</v>
      </c>
    </row>
    <row r="18" customFormat="false" ht="15" hidden="false" customHeight="false" outlineLevel="0" collapsed="false">
      <c r="A18" s="12" t="s">
        <v>200</v>
      </c>
      <c r="B18" s="34" t="n">
        <v>14</v>
      </c>
      <c r="C18" s="12" t="s">
        <v>211</v>
      </c>
      <c r="D18" s="12" t="s">
        <v>213</v>
      </c>
      <c r="E18" s="34" t="n">
        <v>346</v>
      </c>
      <c r="F18" s="34" t="n">
        <v>229</v>
      </c>
      <c r="G18" s="34" t="n">
        <v>117</v>
      </c>
      <c r="H18" s="34" t="n">
        <v>129</v>
      </c>
      <c r="I18" s="34" t="n">
        <v>86</v>
      </c>
      <c r="J18" s="34" t="n">
        <v>29</v>
      </c>
      <c r="K18" s="34" t="n">
        <v>57</v>
      </c>
      <c r="L18" s="34" t="n">
        <v>71</v>
      </c>
      <c r="M18" s="34" t="n">
        <v>44</v>
      </c>
      <c r="N18" s="34" t="n">
        <v>10</v>
      </c>
      <c r="O18" s="34" t="n">
        <v>108</v>
      </c>
      <c r="P18" s="34" t="n">
        <v>16</v>
      </c>
      <c r="Q18" s="34" t="n">
        <v>92</v>
      </c>
      <c r="R18" s="34" t="n">
        <v>20</v>
      </c>
      <c r="S18" s="34" t="n">
        <v>14</v>
      </c>
      <c r="T18" s="34" t="n">
        <v>1573</v>
      </c>
      <c r="U18" s="34" t="n">
        <v>30</v>
      </c>
      <c r="V18" s="34" t="n">
        <v>7</v>
      </c>
      <c r="W18" s="34" t="n">
        <v>46</v>
      </c>
      <c r="X18" s="34" t="n">
        <v>12</v>
      </c>
      <c r="Y18" s="34" t="n">
        <v>22</v>
      </c>
      <c r="Z18" s="34" t="n">
        <v>12</v>
      </c>
      <c r="AA18" s="34" t="n">
        <v>36</v>
      </c>
      <c r="AB18" s="34" t="n">
        <v>44</v>
      </c>
      <c r="AC18" s="34" t="n">
        <v>16</v>
      </c>
      <c r="AD18" s="34" t="n">
        <v>12</v>
      </c>
      <c r="AE18" s="34" t="n">
        <v>49</v>
      </c>
      <c r="AF18" s="34" t="n">
        <v>81</v>
      </c>
      <c r="AG18" s="34" t="n">
        <v>2</v>
      </c>
      <c r="AH18" s="34" t="n">
        <v>60</v>
      </c>
      <c r="AI18" s="34" t="n">
        <v>19</v>
      </c>
      <c r="AJ18" s="34" t="n">
        <v>146</v>
      </c>
      <c r="AK18" s="34" t="n">
        <v>54</v>
      </c>
      <c r="AL18" s="34" t="n">
        <v>17</v>
      </c>
      <c r="AM18" s="34" t="n">
        <v>3</v>
      </c>
      <c r="AN18" s="34" t="n">
        <v>9</v>
      </c>
      <c r="AO18" s="34" t="n">
        <v>6</v>
      </c>
      <c r="AP18" s="34" t="n">
        <v>72</v>
      </c>
      <c r="AQ18" s="34" t="n">
        <v>54</v>
      </c>
      <c r="AR18" s="34" t="n">
        <v>9</v>
      </c>
      <c r="AS18" s="34" t="n">
        <v>49</v>
      </c>
      <c r="AT18" s="34" t="n">
        <v>14</v>
      </c>
      <c r="AU18" s="34" t="n">
        <v>9</v>
      </c>
      <c r="AV18" s="34" t="n">
        <v>10</v>
      </c>
      <c r="AW18" s="34" t="n">
        <v>0</v>
      </c>
      <c r="AX18" s="34" t="n">
        <v>52</v>
      </c>
      <c r="AY18" s="34" t="n">
        <v>19</v>
      </c>
      <c r="AZ18" s="34" t="n">
        <v>47</v>
      </c>
      <c r="BA18" s="34" t="n">
        <v>64</v>
      </c>
      <c r="BB18" s="34" t="n">
        <v>42</v>
      </c>
      <c r="BC18" s="34" t="n">
        <v>59</v>
      </c>
      <c r="BD18" s="34" t="n">
        <v>72</v>
      </c>
      <c r="BE18" s="34" t="n">
        <v>61</v>
      </c>
      <c r="BF18" s="34" t="n">
        <v>59</v>
      </c>
      <c r="BG18" s="34" t="n">
        <v>83</v>
      </c>
      <c r="BH18" s="34" t="n">
        <v>135</v>
      </c>
      <c r="BI18" s="34" t="n">
        <v>85</v>
      </c>
      <c r="BJ18" s="34" t="n">
        <v>220</v>
      </c>
      <c r="BK18" s="34" t="n">
        <v>28</v>
      </c>
      <c r="BL18" s="34" t="n">
        <v>26</v>
      </c>
    </row>
    <row r="19" customFormat="false" ht="15" hidden="false" customHeight="false" outlineLevel="0" collapsed="false">
      <c r="A19" s="12" t="s">
        <v>198</v>
      </c>
      <c r="B19" s="34" t="n">
        <v>15</v>
      </c>
      <c r="C19" s="12" t="s">
        <v>211</v>
      </c>
      <c r="D19" s="12" t="s">
        <v>212</v>
      </c>
      <c r="E19" s="34" t="n">
        <v>297</v>
      </c>
      <c r="F19" s="34" t="n">
        <v>191</v>
      </c>
      <c r="G19" s="34" t="n">
        <v>106</v>
      </c>
      <c r="H19" s="34" t="n">
        <v>143</v>
      </c>
      <c r="I19" s="34" t="n">
        <v>85</v>
      </c>
      <c r="J19" s="34" t="n">
        <v>22</v>
      </c>
      <c r="K19" s="34" t="n">
        <v>63</v>
      </c>
      <c r="L19" s="34" t="n">
        <v>71</v>
      </c>
      <c r="M19" s="34" t="n">
        <v>41</v>
      </c>
      <c r="N19" s="34" t="n">
        <v>6</v>
      </c>
      <c r="O19" s="34" t="n">
        <v>59</v>
      </c>
      <c r="P19" s="34" t="n">
        <v>6</v>
      </c>
      <c r="Q19" s="34" t="n">
        <v>53</v>
      </c>
      <c r="R19" s="34" t="n">
        <v>5</v>
      </c>
      <c r="S19" s="34" t="n">
        <v>7</v>
      </c>
      <c r="T19" s="34" t="n">
        <v>1462</v>
      </c>
      <c r="U19" s="34" t="n">
        <v>63</v>
      </c>
      <c r="V19" s="34" t="n">
        <v>12</v>
      </c>
      <c r="W19" s="34" t="n">
        <v>43</v>
      </c>
      <c r="X19" s="34" t="n">
        <v>7</v>
      </c>
      <c r="Y19" s="34" t="n">
        <v>26</v>
      </c>
      <c r="Z19" s="34" t="n">
        <v>10</v>
      </c>
      <c r="AA19" s="34" t="n">
        <v>44</v>
      </c>
      <c r="AB19" s="34" t="n">
        <v>45</v>
      </c>
      <c r="AC19" s="34" t="n">
        <v>35</v>
      </c>
      <c r="AD19" s="34" t="n">
        <v>12</v>
      </c>
      <c r="AE19" s="34" t="n">
        <v>50</v>
      </c>
      <c r="AF19" s="34" t="n">
        <v>67</v>
      </c>
      <c r="AG19" s="34" t="n">
        <v>6</v>
      </c>
      <c r="AH19" s="34" t="n">
        <v>43</v>
      </c>
      <c r="AI19" s="34" t="n">
        <v>18</v>
      </c>
      <c r="AJ19" s="34" t="n">
        <v>146</v>
      </c>
      <c r="AK19" s="34" t="n">
        <v>38</v>
      </c>
      <c r="AL19" s="34" t="n">
        <v>17</v>
      </c>
      <c r="AM19" s="34" t="n">
        <v>5</v>
      </c>
      <c r="AN19" s="34" t="n">
        <v>18</v>
      </c>
      <c r="AO19" s="34" t="n">
        <v>6</v>
      </c>
      <c r="AP19" s="34" t="n">
        <v>86</v>
      </c>
      <c r="AQ19" s="34" t="n">
        <v>55</v>
      </c>
      <c r="AR19" s="34" t="n">
        <v>17</v>
      </c>
      <c r="AS19" s="34" t="n">
        <v>49</v>
      </c>
      <c r="AT19" s="34" t="n">
        <v>20</v>
      </c>
      <c r="AU19" s="34" t="n">
        <v>12</v>
      </c>
      <c r="AV19" s="34" t="n">
        <v>14</v>
      </c>
      <c r="AW19" s="34" t="n">
        <v>1</v>
      </c>
      <c r="AX19" s="34" t="n">
        <v>61</v>
      </c>
      <c r="AY19" s="34" t="n">
        <v>27</v>
      </c>
      <c r="AZ19" s="34" t="n">
        <v>44</v>
      </c>
      <c r="BA19" s="34" t="n">
        <v>60</v>
      </c>
      <c r="BB19" s="34" t="n">
        <v>36</v>
      </c>
      <c r="BC19" s="34" t="n">
        <v>51</v>
      </c>
      <c r="BD19" s="34" t="n">
        <v>74</v>
      </c>
      <c r="BE19" s="34" t="n">
        <v>56</v>
      </c>
      <c r="BF19" s="34" t="n">
        <v>36</v>
      </c>
      <c r="BG19" s="34" t="n">
        <v>67</v>
      </c>
      <c r="BH19" s="34" t="n">
        <v>98</v>
      </c>
      <c r="BI19" s="34" t="n">
        <v>79</v>
      </c>
      <c r="BJ19" s="34" t="n">
        <v>177</v>
      </c>
      <c r="BK19" s="34" t="n">
        <v>24</v>
      </c>
      <c r="BL19" s="34" t="n">
        <v>16</v>
      </c>
    </row>
    <row r="20" customFormat="false" ht="15" hidden="false" customHeight="false" outlineLevel="0" collapsed="false">
      <c r="A20" s="12" t="s">
        <v>203</v>
      </c>
      <c r="B20" s="34" t="n">
        <v>16</v>
      </c>
      <c r="C20" s="12" t="s">
        <v>211</v>
      </c>
      <c r="D20" s="12" t="s">
        <v>213</v>
      </c>
      <c r="E20" s="34" t="n">
        <v>312</v>
      </c>
      <c r="F20" s="34" t="n">
        <v>209</v>
      </c>
      <c r="G20" s="34" t="n">
        <v>103</v>
      </c>
      <c r="H20" s="34" t="n">
        <v>104</v>
      </c>
      <c r="I20" s="34" t="n">
        <v>75</v>
      </c>
      <c r="J20" s="34" t="n">
        <v>16</v>
      </c>
      <c r="K20" s="34" t="n">
        <v>59</v>
      </c>
      <c r="L20" s="34" t="n">
        <v>60</v>
      </c>
      <c r="M20" s="34" t="n">
        <v>33</v>
      </c>
      <c r="N20" s="34" t="n">
        <v>7</v>
      </c>
      <c r="O20" s="34" t="n">
        <v>107</v>
      </c>
      <c r="P20" s="34" t="n">
        <v>7</v>
      </c>
      <c r="Q20" s="34" t="n">
        <v>100</v>
      </c>
      <c r="R20" s="34" t="n">
        <v>21</v>
      </c>
      <c r="S20" s="34" t="n">
        <v>2</v>
      </c>
      <c r="T20" s="34" t="n">
        <v>1380</v>
      </c>
      <c r="U20" s="34" t="n">
        <v>31</v>
      </c>
      <c r="V20" s="34" t="n">
        <v>8</v>
      </c>
      <c r="W20" s="34" t="n">
        <v>37</v>
      </c>
      <c r="X20" s="34" t="n">
        <v>13</v>
      </c>
      <c r="Y20" s="34" t="n">
        <v>15</v>
      </c>
      <c r="Z20" s="34" t="n">
        <v>9</v>
      </c>
      <c r="AA20" s="34" t="n">
        <v>20</v>
      </c>
      <c r="AB20" s="34" t="n">
        <v>41</v>
      </c>
      <c r="AC20" s="34" t="n">
        <v>10</v>
      </c>
      <c r="AD20" s="34" t="n">
        <v>16</v>
      </c>
      <c r="AE20" s="34" t="n">
        <v>50</v>
      </c>
      <c r="AF20" s="34" t="n">
        <v>75</v>
      </c>
      <c r="AG20" s="34" t="n">
        <v>9</v>
      </c>
      <c r="AH20" s="34" t="n">
        <v>57</v>
      </c>
      <c r="AI20" s="34" t="n">
        <v>9</v>
      </c>
      <c r="AJ20" s="34" t="n">
        <v>122</v>
      </c>
      <c r="AK20" s="34" t="n">
        <v>28</v>
      </c>
      <c r="AL20" s="34" t="n">
        <v>25</v>
      </c>
      <c r="AM20" s="34" t="n">
        <v>3</v>
      </c>
      <c r="AN20" s="34" t="n">
        <v>19</v>
      </c>
      <c r="AO20" s="34" t="n">
        <v>2</v>
      </c>
      <c r="AP20" s="34" t="n">
        <v>66</v>
      </c>
      <c r="AQ20" s="34" t="n">
        <v>50</v>
      </c>
      <c r="AR20" s="34" t="n">
        <v>3</v>
      </c>
      <c r="AS20" s="34" t="n">
        <v>51</v>
      </c>
      <c r="AT20" s="34" t="n">
        <v>12</v>
      </c>
      <c r="AU20" s="34" t="n">
        <v>5</v>
      </c>
      <c r="AV20" s="34" t="n">
        <v>4</v>
      </c>
      <c r="AW20" s="34" t="n">
        <v>1</v>
      </c>
      <c r="AX20" s="34" t="n">
        <v>50</v>
      </c>
      <c r="AY20" s="34" t="n">
        <v>10</v>
      </c>
      <c r="AZ20" s="34" t="n">
        <v>50</v>
      </c>
      <c r="BA20" s="34" t="n">
        <v>68</v>
      </c>
      <c r="BB20" s="34" t="n">
        <v>50</v>
      </c>
      <c r="BC20" s="34" t="n">
        <v>61</v>
      </c>
      <c r="BD20" s="34" t="n">
        <v>81</v>
      </c>
      <c r="BE20" s="34" t="n">
        <v>54</v>
      </c>
      <c r="BF20" s="34" t="n">
        <v>59</v>
      </c>
      <c r="BG20" s="34" t="n">
        <v>63</v>
      </c>
      <c r="BH20" s="34" t="n">
        <v>128</v>
      </c>
      <c r="BI20" s="34" t="n">
        <v>84</v>
      </c>
      <c r="BJ20" s="34" t="n">
        <v>212</v>
      </c>
      <c r="BK20" s="34" t="n">
        <v>20</v>
      </c>
      <c r="BL20" s="34" t="n">
        <v>24</v>
      </c>
    </row>
    <row r="21" customFormat="false" ht="15" hidden="false" customHeight="false" outlineLevel="0" collapsed="false">
      <c r="A21" s="12" t="s">
        <v>186</v>
      </c>
      <c r="B21" s="34" t="n">
        <v>17</v>
      </c>
      <c r="C21" s="12" t="s">
        <v>211</v>
      </c>
      <c r="D21" s="12" t="s">
        <v>212</v>
      </c>
      <c r="E21" s="34" t="n">
        <v>413</v>
      </c>
      <c r="F21" s="34" t="n">
        <v>235</v>
      </c>
      <c r="G21" s="34" t="n">
        <v>178</v>
      </c>
      <c r="H21" s="34" t="n">
        <v>145</v>
      </c>
      <c r="I21" s="34" t="n">
        <v>101</v>
      </c>
      <c r="J21" s="34" t="n">
        <v>24</v>
      </c>
      <c r="K21" s="34" t="n">
        <v>77</v>
      </c>
      <c r="L21" s="34" t="n">
        <v>63</v>
      </c>
      <c r="M21" s="34" t="n">
        <v>53</v>
      </c>
      <c r="N21" s="34" t="n">
        <v>7</v>
      </c>
      <c r="O21" s="34" t="n">
        <v>92</v>
      </c>
      <c r="P21" s="34" t="n">
        <v>10</v>
      </c>
      <c r="Q21" s="34" t="n">
        <v>82</v>
      </c>
      <c r="R21" s="34" t="n">
        <v>10</v>
      </c>
      <c r="S21" s="34" t="n">
        <v>26</v>
      </c>
      <c r="T21" s="34" t="n">
        <v>1936</v>
      </c>
      <c r="U21" s="34" t="n">
        <v>40</v>
      </c>
      <c r="V21" s="34" t="n">
        <v>9</v>
      </c>
      <c r="W21" s="34" t="n">
        <v>59</v>
      </c>
      <c r="X21" s="34" t="n">
        <v>20</v>
      </c>
      <c r="Y21" s="34" t="n">
        <v>25</v>
      </c>
      <c r="Z21" s="34" t="n">
        <v>14</v>
      </c>
      <c r="AA21" s="34" t="n">
        <v>62</v>
      </c>
      <c r="AB21" s="34" t="n">
        <v>30</v>
      </c>
      <c r="AC21" s="34" t="n">
        <v>16</v>
      </c>
      <c r="AD21" s="34" t="n">
        <v>11</v>
      </c>
      <c r="AE21" s="34" t="n">
        <v>44</v>
      </c>
      <c r="AF21" s="34" t="n">
        <v>75</v>
      </c>
      <c r="AG21" s="34" t="n">
        <v>8</v>
      </c>
      <c r="AH21" s="34" t="n">
        <v>37</v>
      </c>
      <c r="AI21" s="34" t="n">
        <v>30</v>
      </c>
      <c r="AJ21" s="34" t="n">
        <v>122</v>
      </c>
      <c r="AK21" s="34" t="n">
        <v>46</v>
      </c>
      <c r="AL21" s="34" t="n">
        <v>9</v>
      </c>
      <c r="AM21" s="34" t="n">
        <v>3</v>
      </c>
      <c r="AN21" s="34" t="n">
        <v>24</v>
      </c>
      <c r="AO21" s="34" t="n">
        <v>7</v>
      </c>
      <c r="AP21" s="34" t="n">
        <v>64</v>
      </c>
      <c r="AQ21" s="34" t="n">
        <v>54</v>
      </c>
      <c r="AR21" s="34" t="n">
        <v>10</v>
      </c>
      <c r="AS21" s="34" t="n">
        <v>37</v>
      </c>
      <c r="AT21" s="34" t="n">
        <v>17</v>
      </c>
      <c r="AU21" s="34" t="n">
        <v>27</v>
      </c>
      <c r="AV21" s="34" t="n">
        <v>6</v>
      </c>
      <c r="AW21" s="34" t="n">
        <v>3</v>
      </c>
      <c r="AX21" s="34" t="n">
        <v>58</v>
      </c>
      <c r="AY21" s="34" t="n">
        <v>36</v>
      </c>
      <c r="AZ21" s="34" t="n">
        <v>75</v>
      </c>
      <c r="BA21" s="34" t="n">
        <v>73</v>
      </c>
      <c r="BB21" s="34" t="n">
        <v>61</v>
      </c>
      <c r="BC21" s="34" t="n">
        <v>66</v>
      </c>
      <c r="BD21" s="34" t="n">
        <v>83</v>
      </c>
      <c r="BE21" s="34" t="n">
        <v>78</v>
      </c>
      <c r="BF21" s="34" t="n">
        <v>73</v>
      </c>
      <c r="BG21" s="34" t="n">
        <v>73</v>
      </c>
      <c r="BH21" s="34" t="n">
        <v>154</v>
      </c>
      <c r="BI21" s="34" t="n">
        <v>149</v>
      </c>
      <c r="BJ21" s="34" t="n">
        <v>303</v>
      </c>
      <c r="BK21" s="34" t="n">
        <v>46</v>
      </c>
      <c r="BL21" s="34" t="n">
        <v>22</v>
      </c>
    </row>
    <row r="22" customFormat="false" ht="15" hidden="false" customHeight="false" outlineLevel="0" collapsed="false">
      <c r="A22" s="12" t="s">
        <v>199</v>
      </c>
      <c r="B22" s="34" t="n">
        <v>18</v>
      </c>
      <c r="C22" s="12" t="s">
        <v>211</v>
      </c>
      <c r="D22" s="12" t="s">
        <v>213</v>
      </c>
      <c r="E22" s="34" t="n">
        <v>296</v>
      </c>
      <c r="F22" s="34" t="n">
        <v>183</v>
      </c>
      <c r="G22" s="34" t="n">
        <v>113</v>
      </c>
      <c r="H22" s="34" t="n">
        <v>137</v>
      </c>
      <c r="I22" s="34" t="n">
        <v>78</v>
      </c>
      <c r="J22" s="34" t="n">
        <v>22</v>
      </c>
      <c r="K22" s="34" t="n">
        <v>56</v>
      </c>
      <c r="L22" s="34" t="n">
        <v>62</v>
      </c>
      <c r="M22" s="34" t="n">
        <v>34</v>
      </c>
      <c r="N22" s="34" t="n">
        <v>13</v>
      </c>
      <c r="O22" s="34" t="n">
        <v>84</v>
      </c>
      <c r="P22" s="34" t="n">
        <v>22</v>
      </c>
      <c r="Q22" s="34" t="n">
        <v>62</v>
      </c>
      <c r="R22" s="34" t="n">
        <v>17</v>
      </c>
      <c r="S22" s="34" t="n">
        <v>14</v>
      </c>
      <c r="T22" s="34" t="n">
        <v>1608</v>
      </c>
      <c r="U22" s="34" t="n">
        <v>49</v>
      </c>
      <c r="V22" s="34" t="n">
        <v>18</v>
      </c>
      <c r="W22" s="34" t="n">
        <v>49</v>
      </c>
      <c r="X22" s="34" t="n">
        <v>16</v>
      </c>
      <c r="Y22" s="34" t="n">
        <v>20</v>
      </c>
      <c r="Z22" s="34" t="n">
        <v>13</v>
      </c>
      <c r="AA22" s="34" t="n">
        <v>52</v>
      </c>
      <c r="AB22" s="34" t="n">
        <v>28</v>
      </c>
      <c r="AC22" s="34" t="n">
        <v>24</v>
      </c>
      <c r="AD22" s="34" t="n">
        <v>5</v>
      </c>
      <c r="AE22" s="34" t="n">
        <v>38</v>
      </c>
      <c r="AF22" s="34" t="n">
        <v>62</v>
      </c>
      <c r="AG22" s="34" t="n">
        <v>6</v>
      </c>
      <c r="AH22" s="34" t="n">
        <v>30</v>
      </c>
      <c r="AI22" s="34" t="n">
        <v>26</v>
      </c>
      <c r="AJ22" s="34" t="n">
        <v>149</v>
      </c>
      <c r="AK22" s="34" t="n">
        <v>60</v>
      </c>
      <c r="AL22" s="34" t="n">
        <v>6</v>
      </c>
      <c r="AM22" s="34" t="n">
        <v>6</v>
      </c>
      <c r="AN22" s="34" t="n">
        <v>13</v>
      </c>
      <c r="AO22" s="34" t="n">
        <v>16</v>
      </c>
      <c r="AP22" s="34" t="n">
        <v>77</v>
      </c>
      <c r="AQ22" s="34" t="n">
        <v>61</v>
      </c>
      <c r="AR22" s="34" t="n">
        <v>19</v>
      </c>
      <c r="AS22" s="34" t="n">
        <v>41</v>
      </c>
      <c r="AT22" s="34" t="n">
        <v>17</v>
      </c>
      <c r="AU22" s="34" t="n">
        <v>14</v>
      </c>
      <c r="AV22" s="34" t="n">
        <v>12</v>
      </c>
      <c r="AW22" s="34" t="n">
        <v>3</v>
      </c>
      <c r="AX22" s="34" t="n">
        <v>55</v>
      </c>
      <c r="AY22" s="34" t="n">
        <v>29</v>
      </c>
      <c r="AZ22" s="34" t="n">
        <v>48</v>
      </c>
      <c r="BA22" s="34" t="n">
        <v>68</v>
      </c>
      <c r="BB22" s="34" t="n">
        <v>52</v>
      </c>
      <c r="BC22" s="34" t="n">
        <v>61</v>
      </c>
      <c r="BD22" s="34" t="n">
        <v>78</v>
      </c>
      <c r="BE22" s="34" t="n">
        <v>61</v>
      </c>
      <c r="BF22" s="34" t="n">
        <v>57</v>
      </c>
      <c r="BG22" s="34" t="n">
        <v>100</v>
      </c>
      <c r="BH22" s="34" t="n">
        <v>112</v>
      </c>
      <c r="BI22" s="34" t="n">
        <v>89</v>
      </c>
      <c r="BJ22" s="34" t="n">
        <v>201</v>
      </c>
      <c r="BK22" s="34" t="n">
        <v>30</v>
      </c>
      <c r="BL22" s="34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C5"/>
    <pageSetUpPr fitToPage="false"/>
  </sheetPr>
  <dimension ref="A1:B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8" t="s">
        <v>216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tr">
        <f aca="false">'United Games For'!A5</f>
        <v>Shepparton Bears</v>
      </c>
      <c r="B5" s="34" t="n">
        <f aca="false">'United Games For'!B5</f>
        <v>1</v>
      </c>
      <c r="C5" s="12" t="str">
        <f aca="false">'United Games For'!C5</f>
        <v>Home &amp; away</v>
      </c>
      <c r="D5" s="12" t="str">
        <f aca="false">'United Games For'!D5</f>
        <v>L</v>
      </c>
      <c r="E5" s="35" t="n">
        <f aca="false">'United Games For'!E5-'United Games Against'!E5</f>
        <v>-45</v>
      </c>
      <c r="F5" s="35" t="n">
        <f aca="false">'United Games For'!F5-'United Games Against'!F5</f>
        <v>-30</v>
      </c>
      <c r="G5" s="35" t="n">
        <f aca="false">'United Games For'!G5-'United Games Against'!G5</f>
        <v>-15</v>
      </c>
      <c r="H5" s="35" t="n">
        <f aca="false">'United Games For'!H5-'United Games Against'!H5</f>
        <v>-6</v>
      </c>
      <c r="I5" s="35" t="n">
        <f aca="false">'United Games For'!I5-'United Games Against'!I5</f>
        <v>-19</v>
      </c>
      <c r="J5" s="35" t="n">
        <f aca="false">'United Games For'!J5-'United Games Against'!J5</f>
        <v>-4</v>
      </c>
      <c r="K5" s="35" t="n">
        <f aca="false">'United Games For'!K5-'United Games Against'!K5</f>
        <v>-15</v>
      </c>
      <c r="L5" s="35" t="n">
        <f aca="false">'United Games For'!L5-'United Games Against'!L5</f>
        <v>-7</v>
      </c>
      <c r="M5" s="35" t="n">
        <f aca="false">'United Games For'!M5-'United Games Against'!M5</f>
        <v>2</v>
      </c>
      <c r="N5" s="35" t="n">
        <f aca="false">'United Games For'!N5-'United Games Against'!N5</f>
        <v>-5</v>
      </c>
      <c r="O5" s="35" t="n">
        <f aca="false">'United Games For'!O5-'United Games Against'!O5</f>
        <v>-26</v>
      </c>
      <c r="P5" s="35" t="n">
        <f aca="false">'United Games For'!P5-'United Games Against'!P5</f>
        <v>5</v>
      </c>
      <c r="Q5" s="35" t="n">
        <f aca="false">'United Games For'!Q5-'United Games Against'!Q5</f>
        <v>-31</v>
      </c>
      <c r="R5" s="35" t="n">
        <f aca="false">'United Games For'!R5-'United Games Against'!R5</f>
        <v>2</v>
      </c>
      <c r="S5" s="35" t="n">
        <f aca="false">'United Games For'!S5-'United Games Against'!S5</f>
        <v>-6</v>
      </c>
      <c r="T5" s="35" t="n">
        <f aca="false">'United Games For'!T5-'United Games Against'!T5</f>
        <v>-406</v>
      </c>
      <c r="U5" s="35" t="n">
        <f aca="false">'United Games For'!U5-'United Games Against'!U5</f>
        <v>7</v>
      </c>
      <c r="V5" s="35" t="n">
        <f aca="false">'United Games For'!V5-'United Games Against'!V5</f>
        <v>-4</v>
      </c>
      <c r="W5" s="35" t="n">
        <f aca="false">'United Games For'!W5-'United Games Against'!W5</f>
        <v>6</v>
      </c>
      <c r="X5" s="35" t="n">
        <f aca="false">'United Games For'!X5-'United Games Against'!X5</f>
        <v>-1</v>
      </c>
      <c r="Y5" s="35" t="n">
        <f aca="false">'United Games For'!Y5-'United Games Against'!Y5</f>
        <v>3</v>
      </c>
      <c r="Z5" s="35" t="n">
        <f aca="false">'United Games For'!Z5-'United Games Against'!Z5</f>
        <v>4</v>
      </c>
      <c r="AA5" s="35" t="n">
        <f aca="false">'United Games For'!AA5-'United Games Against'!AA5</f>
        <v>-8</v>
      </c>
      <c r="AB5" s="35" t="n">
        <f aca="false">'United Games For'!AB5-'United Games Against'!AB5</f>
        <v>-3</v>
      </c>
      <c r="AC5" s="35" t="n">
        <f aca="false">'United Games For'!AC5-'United Games Against'!AC5</f>
        <v>-6</v>
      </c>
      <c r="AD5" s="35" t="n">
        <f aca="false">'United Games For'!AD5-'United Games Against'!AD5</f>
        <v>4</v>
      </c>
      <c r="AE5" s="35" t="n">
        <f aca="false">'United Games For'!AE5-'United Games Against'!AE5</f>
        <v>-10</v>
      </c>
      <c r="AF5" s="35" t="n">
        <f aca="false">'United Games For'!AF5-'United Games Against'!AF5</f>
        <v>6</v>
      </c>
      <c r="AG5" s="35" t="n">
        <f aca="false">'United Games For'!AG5-'United Games Against'!AG5</f>
        <v>2</v>
      </c>
      <c r="AH5" s="35" t="n">
        <f aca="false">'United Games For'!AH5-'United Games Against'!AH5</f>
        <v>0</v>
      </c>
      <c r="AI5" s="35" t="n">
        <f aca="false">'United Games For'!AI5-'United Games Against'!AI5</f>
        <v>4</v>
      </c>
      <c r="AJ5" s="35" t="n">
        <f aca="false">'United Games For'!AJ5-'United Games Against'!AJ5</f>
        <v>-24</v>
      </c>
      <c r="AK5" s="35" t="n">
        <f aca="false">'United Games For'!AK5-'United Games Against'!AK5</f>
        <v>-6</v>
      </c>
      <c r="AL5" s="35" t="n">
        <f aca="false">'United Games For'!AL5-'United Games Against'!AL5</f>
        <v>0</v>
      </c>
      <c r="AM5" s="35" t="n">
        <f aca="false">'United Games For'!AM5-'United Games Against'!AM5</f>
        <v>0</v>
      </c>
      <c r="AN5" s="35" t="n">
        <f aca="false">'United Games For'!AN5-'United Games Against'!AN5</f>
        <v>-7</v>
      </c>
      <c r="AO5" s="35" t="n">
        <f aca="false">'United Games For'!AO5-'United Games Against'!AO5</f>
        <v>-1</v>
      </c>
      <c r="AP5" s="35" t="n">
        <f aca="false">'United Games For'!AP5-'United Games Against'!AP5</f>
        <v>-18</v>
      </c>
      <c r="AQ5" s="35" t="n">
        <f aca="false">'United Games For'!AQ5-'United Games Against'!AQ5</f>
        <v>-14</v>
      </c>
      <c r="AR5" s="35" t="n">
        <f aca="false">'United Games For'!AR5-'United Games Against'!AR5</f>
        <v>0</v>
      </c>
      <c r="AS5" s="35" t="n">
        <f aca="false">'United Games For'!AS5-'United Games Against'!AS5</f>
        <v>-16</v>
      </c>
      <c r="AT5" s="35" t="n">
        <f aca="false">'United Games For'!AT5-'United Games Against'!AT5</f>
        <v>-2</v>
      </c>
      <c r="AU5" s="35" t="n">
        <f aca="false">'United Games For'!AU5-'United Games Against'!AU5</f>
        <v>-10</v>
      </c>
      <c r="AV5" s="35" t="n">
        <f aca="false">'United Games For'!AV5-'United Games Against'!AV5</f>
        <v>-2</v>
      </c>
      <c r="AW5" s="35" t="n">
        <f aca="false">'United Games For'!AW5-'United Games Against'!AW5</f>
        <v>-2</v>
      </c>
      <c r="AX5" s="35" t="n">
        <f aca="false">'United Games For'!AX5-'United Games Against'!AX5</f>
        <v>-27</v>
      </c>
      <c r="AY5" s="35" t="n">
        <f aca="false">'United Games For'!AY5-'United Games Against'!AY5</f>
        <v>-14</v>
      </c>
      <c r="AZ5" s="35" t="n">
        <f aca="false">'United Games For'!AZ5-'United Games Against'!AZ5</f>
        <v>-10</v>
      </c>
      <c r="BA5" s="35" t="n">
        <f aca="false">'United Games For'!BA5-'United Games Against'!BA5</f>
        <v>-4</v>
      </c>
      <c r="BB5" s="35" t="n">
        <f aca="false">'United Games For'!BB5-'United Games Against'!BB5</f>
        <v>-16</v>
      </c>
      <c r="BC5" s="35" t="n">
        <f aca="false">'United Games For'!BC5-'United Games Against'!BC5</f>
        <v>-9</v>
      </c>
      <c r="BD5" s="35" t="n">
        <f aca="false">'United Games For'!BD5-'United Games Against'!BD5</f>
        <v>5</v>
      </c>
      <c r="BE5" s="35" t="n">
        <f aca="false">'United Games For'!BE5-'United Games Against'!BE5</f>
        <v>-16</v>
      </c>
      <c r="BF5" s="35" t="n">
        <f aca="false">'United Games For'!BF5-'United Games Against'!BF5</f>
        <v>15</v>
      </c>
      <c r="BG5" s="35" t="n">
        <f aca="false">'United Games For'!BG5-'United Games Against'!BG5</f>
        <v>0</v>
      </c>
      <c r="BH5" s="35" t="n">
        <f aca="false">'United Games For'!BH5-'United Games Against'!BH5</f>
        <v>-36</v>
      </c>
      <c r="BI5" s="35" t="n">
        <f aca="false">'United Games For'!BI5-'United Games Against'!BI5</f>
        <v>-5</v>
      </c>
      <c r="BJ5" s="35" t="n">
        <f aca="false">'United Games For'!BJ5-'United Games Against'!BJ5</f>
        <v>-41</v>
      </c>
      <c r="BK5" s="35" t="n">
        <f aca="false">'United Games For'!BK5-'United Games Against'!BK5</f>
        <v>-3</v>
      </c>
      <c r="BL5" s="35" t="n">
        <f aca="false">'United Games For'!BL5-'United Games Against'!BL5</f>
        <v>3</v>
      </c>
    </row>
    <row r="6" customFormat="false" ht="15" hidden="false" customHeight="false" outlineLevel="0" collapsed="false">
      <c r="A6" s="12" t="str">
        <f aca="false">'United Games For'!A6</f>
        <v>Euroa</v>
      </c>
      <c r="B6" s="34" t="n">
        <f aca="false">'United Games For'!B6</f>
        <v>2</v>
      </c>
      <c r="C6" s="12" t="str">
        <f aca="false">'United Games For'!C6</f>
        <v>Home &amp; away</v>
      </c>
      <c r="D6" s="12" t="str">
        <f aca="false">'United Games For'!D6</f>
        <v>W</v>
      </c>
      <c r="E6" s="35" t="n">
        <f aca="false">'United Games For'!E6-'United Games Against'!E6</f>
        <v>7</v>
      </c>
      <c r="F6" s="35" t="n">
        <f aca="false">'United Games For'!F6-'United Games Against'!F6</f>
        <v>28</v>
      </c>
      <c r="G6" s="35" t="n">
        <f aca="false">'United Games For'!G6-'United Games Against'!G6</f>
        <v>-21</v>
      </c>
      <c r="H6" s="35" t="n">
        <f aca="false">'United Games For'!H6-'United Games Against'!H6</f>
        <v>21</v>
      </c>
      <c r="I6" s="35" t="n">
        <f aca="false">'United Games For'!I6-'United Games Against'!I6</f>
        <v>-8</v>
      </c>
      <c r="J6" s="35" t="n">
        <f aca="false">'United Games For'!J6-'United Games Against'!J6</f>
        <v>-15</v>
      </c>
      <c r="K6" s="35" t="n">
        <f aca="false">'United Games For'!K6-'United Games Against'!K6</f>
        <v>7</v>
      </c>
      <c r="L6" s="35" t="n">
        <f aca="false">'United Games For'!L6-'United Games Against'!L6</f>
        <v>0</v>
      </c>
      <c r="M6" s="35" t="n">
        <f aca="false">'United Games For'!M6-'United Games Against'!M6</f>
        <v>12</v>
      </c>
      <c r="N6" s="35" t="n">
        <f aca="false">'United Games For'!N6-'United Games Against'!N6</f>
        <v>-6</v>
      </c>
      <c r="O6" s="35" t="n">
        <f aca="false">'United Games For'!O6-'United Games Against'!O6</f>
        <v>14</v>
      </c>
      <c r="P6" s="35" t="n">
        <f aca="false">'United Games For'!P6-'United Games Against'!P6</f>
        <v>9</v>
      </c>
      <c r="Q6" s="35" t="n">
        <f aca="false">'United Games For'!Q6-'United Games Against'!Q6</f>
        <v>5</v>
      </c>
      <c r="R6" s="35" t="n">
        <f aca="false">'United Games For'!R6-'United Games Against'!R6</f>
        <v>-3</v>
      </c>
      <c r="S6" s="35" t="n">
        <f aca="false">'United Games For'!S6-'United Games Against'!S6</f>
        <v>7</v>
      </c>
      <c r="T6" s="35" t="n">
        <f aca="false">'United Games For'!T6-'United Games Against'!T6</f>
        <v>138</v>
      </c>
      <c r="U6" s="35" t="n">
        <f aca="false">'United Games For'!U6-'United Games Against'!U6</f>
        <v>26</v>
      </c>
      <c r="V6" s="35" t="n">
        <f aca="false">'United Games For'!V6-'United Games Against'!V6</f>
        <v>5</v>
      </c>
      <c r="W6" s="35" t="n">
        <f aca="false">'United Games For'!W6-'United Games Against'!W6</f>
        <v>13</v>
      </c>
      <c r="X6" s="35" t="n">
        <f aca="false">'United Games For'!X6-'United Games Against'!X6</f>
        <v>5</v>
      </c>
      <c r="Y6" s="35" t="n">
        <f aca="false">'United Games For'!Y6-'United Games Against'!Y6</f>
        <v>7</v>
      </c>
      <c r="Z6" s="35" t="n">
        <f aca="false">'United Games For'!Z6-'United Games Against'!Z6</f>
        <v>1</v>
      </c>
      <c r="AA6" s="35" t="n">
        <f aca="false">'United Games For'!AA6-'United Games Against'!AA6</f>
        <v>14</v>
      </c>
      <c r="AB6" s="35" t="n">
        <f aca="false">'United Games For'!AB6-'United Games Against'!AB6</f>
        <v>-11</v>
      </c>
      <c r="AC6" s="35" t="n">
        <f aca="false">'United Games For'!AC6-'United Games Against'!AC6</f>
        <v>3</v>
      </c>
      <c r="AD6" s="35" t="n">
        <f aca="false">'United Games For'!AD6-'United Games Against'!AD6</f>
        <v>-4</v>
      </c>
      <c r="AE6" s="35" t="n">
        <f aca="false">'United Games For'!AE6-'United Games Against'!AE6</f>
        <v>-14</v>
      </c>
      <c r="AF6" s="35" t="n">
        <f aca="false">'United Games For'!AF6-'United Games Against'!AF6</f>
        <v>4</v>
      </c>
      <c r="AG6" s="35" t="n">
        <f aca="false">'United Games For'!AG6-'United Games Against'!AG6</f>
        <v>-1</v>
      </c>
      <c r="AH6" s="35" t="n">
        <f aca="false">'United Games For'!AH6-'United Games Against'!AH6</f>
        <v>-5</v>
      </c>
      <c r="AI6" s="35" t="n">
        <f aca="false">'United Games For'!AI6-'United Games Against'!AI6</f>
        <v>10</v>
      </c>
      <c r="AJ6" s="35" t="n">
        <f aca="false">'United Games For'!AJ6-'United Games Against'!AJ6</f>
        <v>-6</v>
      </c>
      <c r="AK6" s="35" t="n">
        <f aca="false">'United Games For'!AK6-'United Games Against'!AK6</f>
        <v>8</v>
      </c>
      <c r="AL6" s="35" t="n">
        <f aca="false">'United Games For'!AL6-'United Games Against'!AL6</f>
        <v>-2</v>
      </c>
      <c r="AM6" s="35" t="n">
        <f aca="false">'United Games For'!AM6-'United Games Against'!AM6</f>
        <v>1</v>
      </c>
      <c r="AN6" s="35" t="n">
        <f aca="false">'United Games For'!AN6-'United Games Against'!AN6</f>
        <v>-4</v>
      </c>
      <c r="AO6" s="35" t="n">
        <f aca="false">'United Games For'!AO6-'United Games Against'!AO6</f>
        <v>4</v>
      </c>
      <c r="AP6" s="35" t="n">
        <f aca="false">'United Games For'!AP6-'United Games Against'!AP6</f>
        <v>-13</v>
      </c>
      <c r="AQ6" s="35" t="n">
        <f aca="false">'United Games For'!AQ6-'United Games Against'!AQ6</f>
        <v>-6</v>
      </c>
      <c r="AR6" s="35" t="n">
        <f aca="false">'United Games For'!AR6-'United Games Against'!AR6</f>
        <v>2</v>
      </c>
      <c r="AS6" s="35" t="n">
        <f aca="false">'United Games For'!AS6-'United Games Against'!AS6</f>
        <v>-3</v>
      </c>
      <c r="AT6" s="35" t="n">
        <f aca="false">'United Games For'!AT6-'United Games Against'!AT6</f>
        <v>-12</v>
      </c>
      <c r="AU6" s="35" t="n">
        <f aca="false">'United Games For'!AU6-'United Games Against'!AU6</f>
        <v>4</v>
      </c>
      <c r="AV6" s="35" t="n">
        <f aca="false">'United Games For'!AV6-'United Games Against'!AV6</f>
        <v>2</v>
      </c>
      <c r="AW6" s="35" t="n">
        <f aca="false">'United Games For'!AW6-'United Games Against'!AW6</f>
        <v>2</v>
      </c>
      <c r="AX6" s="35" t="n">
        <f aca="false">'United Games For'!AX6-'United Games Against'!AX6</f>
        <v>2</v>
      </c>
      <c r="AY6" s="35" t="n">
        <f aca="false">'United Games For'!AY6-'United Games Against'!AY6</f>
        <v>8</v>
      </c>
      <c r="AZ6" s="35" t="n">
        <f aca="false">'United Games For'!AZ6-'United Games Against'!AZ6</f>
        <v>0</v>
      </c>
      <c r="BA6" s="35" t="n">
        <f aca="false">'United Games For'!BA6-'United Games Against'!BA6</f>
        <v>3</v>
      </c>
      <c r="BB6" s="35" t="n">
        <f aca="false">'United Games For'!BB6-'United Games Against'!BB6</f>
        <v>8</v>
      </c>
      <c r="BC6" s="35" t="n">
        <f aca="false">'United Games For'!BC6-'United Games Against'!BC6</f>
        <v>8</v>
      </c>
      <c r="BD6" s="35" t="n">
        <f aca="false">'United Games For'!BD6-'United Games Against'!BD6</f>
        <v>-1</v>
      </c>
      <c r="BE6" s="35" t="n">
        <f aca="false">'United Games For'!BE6-'United Games Against'!BE6</f>
        <v>3</v>
      </c>
      <c r="BF6" s="35" t="n">
        <f aca="false">'United Games For'!BF6-'United Games Against'!BF6</f>
        <v>25</v>
      </c>
      <c r="BG6" s="35" t="n">
        <f aca="false">'United Games For'!BG6-'United Games Against'!BG6</f>
        <v>55</v>
      </c>
      <c r="BH6" s="35" t="n">
        <f aca="false">'United Games For'!BH6-'United Games Against'!BH6</f>
        <v>31</v>
      </c>
      <c r="BI6" s="35" t="n">
        <f aca="false">'United Games For'!BI6-'United Games Against'!BI6</f>
        <v>-17</v>
      </c>
      <c r="BJ6" s="35" t="n">
        <f aca="false">'United Games For'!BJ6-'United Games Against'!BJ6</f>
        <v>14</v>
      </c>
      <c r="BK6" s="35" t="n">
        <f aca="false">'United Games For'!BK6-'United Games Against'!BK6</f>
        <v>9</v>
      </c>
      <c r="BL6" s="35" t="n">
        <f aca="false">'United Games For'!BL6-'United Games Against'!BL6</f>
        <v>-1</v>
      </c>
    </row>
    <row r="7" customFormat="false" ht="15" hidden="false" customHeight="false" outlineLevel="0" collapsed="false">
      <c r="A7" s="12" t="str">
        <f aca="false">'United Games For'!A7</f>
        <v>Shepparton Swans</v>
      </c>
      <c r="B7" s="34" t="n">
        <f aca="false">'United Games For'!B7</f>
        <v>3</v>
      </c>
      <c r="C7" s="12" t="str">
        <f aca="false">'United Games For'!C7</f>
        <v>Home &amp; away</v>
      </c>
      <c r="D7" s="12" t="str">
        <f aca="false">'United Games For'!D7</f>
        <v>W</v>
      </c>
      <c r="E7" s="35" t="n">
        <f aca="false">'United Games For'!E7-'United Games Against'!E7</f>
        <v>11</v>
      </c>
      <c r="F7" s="35" t="n">
        <f aca="false">'United Games For'!F7-'United Games Against'!F7</f>
        <v>10</v>
      </c>
      <c r="G7" s="35" t="n">
        <f aca="false">'United Games For'!G7-'United Games Against'!G7</f>
        <v>1</v>
      </c>
      <c r="H7" s="35" t="n">
        <f aca="false">'United Games For'!H7-'United Games Against'!H7</f>
        <v>45</v>
      </c>
      <c r="I7" s="35" t="n">
        <f aca="false">'United Games For'!I7-'United Games Against'!I7</f>
        <v>17</v>
      </c>
      <c r="J7" s="35" t="n">
        <f aca="false">'United Games For'!J7-'United Games Against'!J7</f>
        <v>11</v>
      </c>
      <c r="K7" s="35" t="n">
        <f aca="false">'United Games For'!K7-'United Games Against'!K7</f>
        <v>6</v>
      </c>
      <c r="L7" s="35" t="n">
        <f aca="false">'United Games For'!L7-'United Games Against'!L7</f>
        <v>-7</v>
      </c>
      <c r="M7" s="35" t="n">
        <f aca="false">'United Games For'!M7-'United Games Against'!M7</f>
        <v>8</v>
      </c>
      <c r="N7" s="35" t="n">
        <f aca="false">'United Games For'!N7-'United Games Against'!N7</f>
        <v>-8</v>
      </c>
      <c r="O7" s="35" t="n">
        <f aca="false">'United Games For'!O7-'United Games Against'!O7</f>
        <v>4</v>
      </c>
      <c r="P7" s="35" t="n">
        <f aca="false">'United Games For'!P7-'United Games Against'!P7</f>
        <v>2</v>
      </c>
      <c r="Q7" s="35" t="n">
        <f aca="false">'United Games For'!Q7-'United Games Against'!Q7</f>
        <v>2</v>
      </c>
      <c r="R7" s="35" t="n">
        <f aca="false">'United Games For'!R7-'United Games Against'!R7</f>
        <v>11</v>
      </c>
      <c r="S7" s="35" t="n">
        <f aca="false">'United Games For'!S7-'United Games Against'!S7</f>
        <v>0</v>
      </c>
      <c r="T7" s="35" t="n">
        <f aca="false">'United Games For'!T7-'United Games Against'!T7</f>
        <v>113</v>
      </c>
      <c r="U7" s="35" t="n">
        <f aca="false">'United Games For'!U7-'United Games Against'!U7</f>
        <v>47</v>
      </c>
      <c r="V7" s="35" t="n">
        <f aca="false">'United Games For'!V7-'United Games Against'!V7</f>
        <v>14</v>
      </c>
      <c r="W7" s="35" t="n">
        <f aca="false">'United Games For'!W7-'United Games Against'!W7</f>
        <v>15</v>
      </c>
      <c r="X7" s="35" t="n">
        <f aca="false">'United Games For'!X7-'United Games Against'!X7</f>
        <v>1</v>
      </c>
      <c r="Y7" s="35" t="n">
        <f aca="false">'United Games For'!Y7-'United Games Against'!Y7</f>
        <v>5</v>
      </c>
      <c r="Z7" s="35" t="n">
        <f aca="false">'United Games For'!Z7-'United Games Against'!Z7</f>
        <v>9</v>
      </c>
      <c r="AA7" s="35" t="n">
        <f aca="false">'United Games For'!AA7-'United Games Against'!AA7</f>
        <v>1</v>
      </c>
      <c r="AB7" s="35" t="n">
        <f aca="false">'United Games For'!AB7-'United Games Against'!AB7</f>
        <v>0</v>
      </c>
      <c r="AC7" s="35" t="n">
        <f aca="false">'United Games For'!AC7-'United Games Against'!AC7</f>
        <v>-3</v>
      </c>
      <c r="AD7" s="35" t="n">
        <f aca="false">'United Games For'!AD7-'United Games Against'!AD7</f>
        <v>1</v>
      </c>
      <c r="AE7" s="35" t="n">
        <f aca="false">'United Games For'!AE7-'United Games Against'!AE7</f>
        <v>-13</v>
      </c>
      <c r="AF7" s="35" t="n">
        <f aca="false">'United Games For'!AF7-'United Games Against'!AF7</f>
        <v>6</v>
      </c>
      <c r="AG7" s="35" t="n">
        <f aca="false">'United Games For'!AG7-'United Games Against'!AG7</f>
        <v>0</v>
      </c>
      <c r="AH7" s="35" t="n">
        <f aca="false">'United Games For'!AH7-'United Games Against'!AH7</f>
        <v>5</v>
      </c>
      <c r="AI7" s="35" t="n">
        <f aca="false">'United Games For'!AI7-'United Games Against'!AI7</f>
        <v>1</v>
      </c>
      <c r="AJ7" s="35" t="n">
        <f aca="false">'United Games For'!AJ7-'United Games Against'!AJ7</f>
        <v>-22</v>
      </c>
      <c r="AK7" s="35" t="n">
        <f aca="false">'United Games For'!AK7-'United Games Against'!AK7</f>
        <v>5</v>
      </c>
      <c r="AL7" s="35" t="n">
        <f aca="false">'United Games For'!AL7-'United Games Against'!AL7</f>
        <v>3</v>
      </c>
      <c r="AM7" s="35" t="n">
        <f aca="false">'United Games For'!AM7-'United Games Against'!AM7</f>
        <v>-4</v>
      </c>
      <c r="AN7" s="35" t="n">
        <f aca="false">'United Games For'!AN7-'United Games Against'!AN7</f>
        <v>-7</v>
      </c>
      <c r="AO7" s="35" t="n">
        <f aca="false">'United Games For'!AO7-'United Games Against'!AO7</f>
        <v>0</v>
      </c>
      <c r="AP7" s="35" t="n">
        <f aca="false">'United Games For'!AP7-'United Games Against'!AP7</f>
        <v>-26</v>
      </c>
      <c r="AQ7" s="35" t="n">
        <f aca="false">'United Games For'!AQ7-'United Games Against'!AQ7</f>
        <v>-13</v>
      </c>
      <c r="AR7" s="35" t="n">
        <f aca="false">'United Games For'!AR7-'United Games Against'!AR7</f>
        <v>9</v>
      </c>
      <c r="AS7" s="35" t="n">
        <f aca="false">'United Games For'!AS7-'United Games Against'!AS7</f>
        <v>-23</v>
      </c>
      <c r="AT7" s="35" t="n">
        <f aca="false">'United Games For'!AT7-'United Games Against'!AT7</f>
        <v>-12</v>
      </c>
      <c r="AU7" s="35" t="n">
        <f aca="false">'United Games For'!AU7-'United Games Against'!AU7</f>
        <v>2</v>
      </c>
      <c r="AV7" s="35" t="n">
        <f aca="false">'United Games For'!AV7-'United Games Against'!AV7</f>
        <v>1</v>
      </c>
      <c r="AW7" s="35" t="n">
        <f aca="false">'United Games For'!AW7-'United Games Against'!AW7</f>
        <v>-2</v>
      </c>
      <c r="AX7" s="35" t="n">
        <f aca="false">'United Games For'!AX7-'United Games Against'!AX7</f>
        <v>1</v>
      </c>
      <c r="AY7" s="35" t="n">
        <f aca="false">'United Games For'!AY7-'United Games Against'!AY7</f>
        <v>1</v>
      </c>
      <c r="AZ7" s="35" t="n">
        <f aca="false">'United Games For'!AZ7-'United Games Against'!AZ7</f>
        <v>9</v>
      </c>
      <c r="BA7" s="35" t="n">
        <f aca="false">'United Games For'!BA7-'United Games Against'!BA7</f>
        <v>1</v>
      </c>
      <c r="BB7" s="35" t="n">
        <f aca="false">'United Games For'!BB7-'United Games Against'!BB7</f>
        <v>11</v>
      </c>
      <c r="BC7" s="35" t="n">
        <f aca="false">'United Games For'!BC7-'United Games Against'!BC7</f>
        <v>6</v>
      </c>
      <c r="BD7" s="35" t="n">
        <f aca="false">'United Games For'!BD7-'United Games Against'!BD7</f>
        <v>-8</v>
      </c>
      <c r="BE7" s="35" t="n">
        <f aca="false">'United Games For'!BE7-'United Games Against'!BE7</f>
        <v>2</v>
      </c>
      <c r="BF7" s="35" t="n">
        <f aca="false">'United Games For'!BF7-'United Games Against'!BF7</f>
        <v>23</v>
      </c>
      <c r="BG7" s="35" t="n">
        <f aca="false">'United Games For'!BG7-'United Games Against'!BG7</f>
        <v>-8</v>
      </c>
      <c r="BH7" s="35" t="n">
        <f aca="false">'United Games For'!BH7-'United Games Against'!BH7</f>
        <v>19</v>
      </c>
      <c r="BI7" s="35" t="n">
        <f aca="false">'United Games For'!BI7-'United Games Against'!BI7</f>
        <v>-8</v>
      </c>
      <c r="BJ7" s="35" t="n">
        <f aca="false">'United Games For'!BJ7-'United Games Against'!BJ7</f>
        <v>11</v>
      </c>
      <c r="BK7" s="35" t="n">
        <f aca="false">'United Games For'!BK7-'United Games Against'!BK7</f>
        <v>9</v>
      </c>
      <c r="BL7" s="35" t="n">
        <f aca="false">'United Games For'!BL7-'United Games Against'!BL7</f>
        <v>10</v>
      </c>
    </row>
    <row r="8" customFormat="false" ht="15" hidden="false" customHeight="false" outlineLevel="0" collapsed="false">
      <c r="A8" s="12" t="str">
        <f aca="false">'United Games For'!A8</f>
        <v>Mooroopna</v>
      </c>
      <c r="B8" s="34" t="n">
        <f aca="false">'United Games For'!B8</f>
        <v>4</v>
      </c>
      <c r="C8" s="12" t="str">
        <f aca="false">'United Games For'!C8</f>
        <v>Home &amp; away</v>
      </c>
      <c r="D8" s="12" t="str">
        <f aca="false">'United Games For'!D8</f>
        <v>L</v>
      </c>
      <c r="E8" s="35" t="n">
        <f aca="false">'United Games For'!E8-'United Games Against'!E8</f>
        <v>-7</v>
      </c>
      <c r="F8" s="35" t="n">
        <f aca="false">'United Games For'!F8-'United Games Against'!F8</f>
        <v>-2</v>
      </c>
      <c r="G8" s="35" t="n">
        <f aca="false">'United Games For'!G8-'United Games Against'!G8</f>
        <v>-5</v>
      </c>
      <c r="H8" s="35" t="n">
        <f aca="false">'United Games For'!H8-'United Games Against'!H8</f>
        <v>-4</v>
      </c>
      <c r="I8" s="35" t="n">
        <f aca="false">'United Games For'!I8-'United Games Against'!I8</f>
        <v>13</v>
      </c>
      <c r="J8" s="35" t="n">
        <f aca="false">'United Games For'!J8-'United Games Against'!J8</f>
        <v>4</v>
      </c>
      <c r="K8" s="35" t="n">
        <f aca="false">'United Games For'!K8-'United Games Against'!K8</f>
        <v>9</v>
      </c>
      <c r="L8" s="35" t="n">
        <f aca="false">'United Games For'!L8-'United Games Against'!L8</f>
        <v>11</v>
      </c>
      <c r="M8" s="35" t="n">
        <f aca="false">'United Games For'!M8-'United Games Against'!M8</f>
        <v>-10</v>
      </c>
      <c r="N8" s="35" t="n">
        <f aca="false">'United Games For'!N8-'United Games Against'!N8</f>
        <v>-7</v>
      </c>
      <c r="O8" s="35" t="n">
        <f aca="false">'United Games For'!O8-'United Games Against'!O8</f>
        <v>0</v>
      </c>
      <c r="P8" s="35" t="n">
        <f aca="false">'United Games For'!P8-'United Games Against'!P8</f>
        <v>4</v>
      </c>
      <c r="Q8" s="35" t="n">
        <f aca="false">'United Games For'!Q8-'United Games Against'!Q8</f>
        <v>-4</v>
      </c>
      <c r="R8" s="35" t="n">
        <f aca="false">'United Games For'!R8-'United Games Against'!R8</f>
        <v>4</v>
      </c>
      <c r="S8" s="35" t="n">
        <f aca="false">'United Games For'!S8-'United Games Against'!S8</f>
        <v>6</v>
      </c>
      <c r="T8" s="35" t="n">
        <f aca="false">'United Games For'!T8-'United Games Against'!T8</f>
        <v>3</v>
      </c>
      <c r="U8" s="35" t="n">
        <f aca="false">'United Games For'!U8-'United Games Against'!U8</f>
        <v>16</v>
      </c>
      <c r="V8" s="35" t="n">
        <f aca="false">'United Games For'!V8-'United Games Against'!V8</f>
        <v>-2</v>
      </c>
      <c r="W8" s="35" t="n">
        <f aca="false">'United Games For'!W8-'United Games Against'!W8</f>
        <v>-16</v>
      </c>
      <c r="X8" s="35" t="n">
        <f aca="false">'United Games For'!X8-'United Games Against'!X8</f>
        <v>-3</v>
      </c>
      <c r="Y8" s="35" t="n">
        <f aca="false">'United Games For'!Y8-'United Games Against'!Y8</f>
        <v>-2</v>
      </c>
      <c r="Z8" s="35" t="n">
        <f aca="false">'United Games For'!Z8-'United Games Against'!Z8</f>
        <v>-11</v>
      </c>
      <c r="AA8" s="35" t="n">
        <f aca="false">'United Games For'!AA8-'United Games Against'!AA8</f>
        <v>11</v>
      </c>
      <c r="AB8" s="35" t="n">
        <f aca="false">'United Games For'!AB8-'United Games Against'!AB8</f>
        <v>-15</v>
      </c>
      <c r="AC8" s="35" t="n">
        <f aca="false">'United Games For'!AC8-'United Games Against'!AC8</f>
        <v>4</v>
      </c>
      <c r="AD8" s="35" t="n">
        <f aca="false">'United Games For'!AD8-'United Games Against'!AD8</f>
        <v>-5</v>
      </c>
      <c r="AE8" s="35" t="n">
        <f aca="false">'United Games For'!AE8-'United Games Against'!AE8</f>
        <v>0</v>
      </c>
      <c r="AF8" s="35" t="n">
        <f aca="false">'United Games For'!AF8-'United Games Against'!AF8</f>
        <v>-13</v>
      </c>
      <c r="AG8" s="35" t="n">
        <f aca="false">'United Games For'!AG8-'United Games Against'!AG8</f>
        <v>-1</v>
      </c>
      <c r="AH8" s="35" t="n">
        <f aca="false">'United Games For'!AH8-'United Games Against'!AH8</f>
        <v>-22</v>
      </c>
      <c r="AI8" s="35" t="n">
        <f aca="false">'United Games For'!AI8-'United Games Against'!AI8</f>
        <v>10</v>
      </c>
      <c r="AJ8" s="35" t="n">
        <f aca="false">'United Games For'!AJ8-'United Games Against'!AJ8</f>
        <v>-2</v>
      </c>
      <c r="AK8" s="35" t="n">
        <f aca="false">'United Games For'!AK8-'United Games Against'!AK8</f>
        <v>-9</v>
      </c>
      <c r="AL8" s="35" t="n">
        <f aca="false">'United Games For'!AL8-'United Games Against'!AL8</f>
        <v>6</v>
      </c>
      <c r="AM8" s="35" t="n">
        <f aca="false">'United Games For'!AM8-'United Games Against'!AM8</f>
        <v>0</v>
      </c>
      <c r="AN8" s="35" t="n">
        <f aca="false">'United Games For'!AN8-'United Games Against'!AN8</f>
        <v>-8</v>
      </c>
      <c r="AO8" s="35" t="n">
        <f aca="false">'United Games For'!AO8-'United Games Against'!AO8</f>
        <v>-2</v>
      </c>
      <c r="AP8" s="35" t="n">
        <f aca="false">'United Games For'!AP8-'United Games Against'!AP8</f>
        <v>1</v>
      </c>
      <c r="AQ8" s="35" t="n">
        <f aca="false">'United Games For'!AQ8-'United Games Against'!AQ8</f>
        <v>4</v>
      </c>
      <c r="AR8" s="35" t="n">
        <f aca="false">'United Games For'!AR8-'United Games Against'!AR8</f>
        <v>2</v>
      </c>
      <c r="AS8" s="35" t="n">
        <f aca="false">'United Games For'!AS8-'United Games Against'!AS8</f>
        <v>9</v>
      </c>
      <c r="AT8" s="35" t="n">
        <f aca="false">'United Games For'!AT8-'United Games Against'!AT8</f>
        <v>-10</v>
      </c>
      <c r="AU8" s="35" t="n">
        <f aca="false">'United Games For'!AU8-'United Games Against'!AU8</f>
        <v>-2</v>
      </c>
      <c r="AV8" s="35" t="n">
        <f aca="false">'United Games For'!AV8-'United Games Against'!AV8</f>
        <v>3</v>
      </c>
      <c r="AW8" s="35" t="n">
        <f aca="false">'United Games For'!AW8-'United Games Against'!AW8</f>
        <v>2</v>
      </c>
      <c r="AX8" s="35" t="n">
        <f aca="false">'United Games For'!AX8-'United Games Against'!AX8</f>
        <v>-3</v>
      </c>
      <c r="AY8" s="35" t="n">
        <f aca="false">'United Games For'!AY8-'United Games Against'!AY8</f>
        <v>3</v>
      </c>
      <c r="AZ8" s="35" t="n">
        <f aca="false">'United Games For'!AZ8-'United Games Against'!AZ8</f>
        <v>-22</v>
      </c>
      <c r="BA8" s="35" t="n">
        <f aca="false">'United Games For'!BA8-'United Games Against'!BA8</f>
        <v>0</v>
      </c>
      <c r="BB8" s="35" t="n">
        <f aca="false">'United Games For'!BB8-'United Games Against'!BB8</f>
        <v>3</v>
      </c>
      <c r="BC8" s="35" t="n">
        <f aca="false">'United Games For'!BC8-'United Games Against'!BC8</f>
        <v>5</v>
      </c>
      <c r="BD8" s="35" t="n">
        <f aca="false">'United Games For'!BD8-'United Games Against'!BD8</f>
        <v>-9</v>
      </c>
      <c r="BE8" s="35" t="n">
        <f aca="false">'United Games For'!BE8-'United Games Against'!BE8</f>
        <v>5</v>
      </c>
      <c r="BF8" s="35" t="n">
        <f aca="false">'United Games For'!BF8-'United Games Against'!BF8</f>
        <v>4</v>
      </c>
      <c r="BG8" s="35" t="n">
        <f aca="false">'United Games For'!BG8-'United Games Against'!BG8</f>
        <v>20</v>
      </c>
      <c r="BH8" s="35" t="n">
        <f aca="false">'United Games For'!BH8-'United Games Against'!BH8</f>
        <v>9</v>
      </c>
      <c r="BI8" s="35" t="n">
        <f aca="false">'United Games For'!BI8-'United Games Against'!BI8</f>
        <v>-16</v>
      </c>
      <c r="BJ8" s="35" t="n">
        <f aca="false">'United Games For'!BJ8-'United Games Against'!BJ8</f>
        <v>-7</v>
      </c>
      <c r="BK8" s="35" t="n">
        <f aca="false">'United Games For'!BK8-'United Games Against'!BK8</f>
        <v>-7</v>
      </c>
      <c r="BL8" s="35" t="n">
        <f aca="false">'United Games For'!BL8-'United Games Against'!BL8</f>
        <v>-7</v>
      </c>
    </row>
    <row r="9" customFormat="false" ht="15" hidden="false" customHeight="false" outlineLevel="0" collapsed="false">
      <c r="A9" s="12" t="str">
        <f aca="false">'United Games For'!A9</f>
        <v>Mansfield</v>
      </c>
      <c r="B9" s="34" t="n">
        <f aca="false">'United Games For'!B9</f>
        <v>5</v>
      </c>
      <c r="C9" s="12" t="str">
        <f aca="false">'United Games For'!C9</f>
        <v>Home &amp; away</v>
      </c>
      <c r="D9" s="12" t="str">
        <f aca="false">'United Games For'!D9</f>
        <v>L</v>
      </c>
      <c r="E9" s="35" t="n">
        <f aca="false">'United Games For'!E9-'United Games Against'!E9</f>
        <v>44</v>
      </c>
      <c r="F9" s="35" t="n">
        <f aca="false">'United Games For'!F9-'United Games Against'!F9</f>
        <v>48</v>
      </c>
      <c r="G9" s="35" t="n">
        <f aca="false">'United Games For'!G9-'United Games Against'!G9</f>
        <v>-4</v>
      </c>
      <c r="H9" s="35" t="n">
        <f aca="false">'United Games For'!H9-'United Games Against'!H9</f>
        <v>-11</v>
      </c>
      <c r="I9" s="35" t="n">
        <f aca="false">'United Games For'!I9-'United Games Against'!I9</f>
        <v>-5</v>
      </c>
      <c r="J9" s="35" t="n">
        <f aca="false">'United Games For'!J9-'United Games Against'!J9</f>
        <v>9</v>
      </c>
      <c r="K9" s="35" t="n">
        <f aca="false">'United Games For'!K9-'United Games Against'!K9</f>
        <v>-14</v>
      </c>
      <c r="L9" s="35" t="n">
        <f aca="false">'United Games For'!L9-'United Games Against'!L9</f>
        <v>-6</v>
      </c>
      <c r="M9" s="35" t="n">
        <f aca="false">'United Games For'!M9-'United Games Against'!M9</f>
        <v>14</v>
      </c>
      <c r="N9" s="35" t="n">
        <f aca="false">'United Games For'!N9-'United Games Against'!N9</f>
        <v>1</v>
      </c>
      <c r="O9" s="35" t="n">
        <f aca="false">'United Games For'!O9-'United Games Against'!O9</f>
        <v>58</v>
      </c>
      <c r="P9" s="35" t="n">
        <f aca="false">'United Games For'!P9-'United Games Against'!P9</f>
        <v>2</v>
      </c>
      <c r="Q9" s="35" t="n">
        <f aca="false">'United Games For'!Q9-'United Games Against'!Q9</f>
        <v>56</v>
      </c>
      <c r="R9" s="35" t="n">
        <f aca="false">'United Games For'!R9-'United Games Against'!R9</f>
        <v>2</v>
      </c>
      <c r="S9" s="35" t="n">
        <f aca="false">'United Games For'!S9-'United Games Against'!S9</f>
        <v>1</v>
      </c>
      <c r="T9" s="35" t="n">
        <f aca="false">'United Games For'!T9-'United Games Against'!T9</f>
        <v>36</v>
      </c>
      <c r="U9" s="35" t="n">
        <f aca="false">'United Games For'!U9-'United Games Against'!U9</f>
        <v>18</v>
      </c>
      <c r="V9" s="35" t="n">
        <f aca="false">'United Games For'!V9-'United Games Against'!V9</f>
        <v>0</v>
      </c>
      <c r="W9" s="35" t="n">
        <f aca="false">'United Games For'!W9-'United Games Against'!W9</f>
        <v>-5</v>
      </c>
      <c r="X9" s="35" t="n">
        <f aca="false">'United Games For'!X9-'United Games Against'!X9</f>
        <v>-3</v>
      </c>
      <c r="Y9" s="35" t="n">
        <f aca="false">'United Games For'!Y9-'United Games Against'!Y9</f>
        <v>-3</v>
      </c>
      <c r="Z9" s="35" t="n">
        <f aca="false">'United Games For'!Z9-'United Games Against'!Z9</f>
        <v>1</v>
      </c>
      <c r="AA9" s="35" t="n">
        <f aca="false">'United Games For'!AA9-'United Games Against'!AA9</f>
        <v>-9</v>
      </c>
      <c r="AB9" s="35" t="n">
        <f aca="false">'United Games For'!AB9-'United Games Against'!AB9</f>
        <v>2</v>
      </c>
      <c r="AC9" s="35" t="n">
        <f aca="false">'United Games For'!AC9-'United Games Against'!AC9</f>
        <v>-11</v>
      </c>
      <c r="AD9" s="35" t="n">
        <f aca="false">'United Games For'!AD9-'United Games Against'!AD9</f>
        <v>1</v>
      </c>
      <c r="AE9" s="35" t="n">
        <f aca="false">'United Games For'!AE9-'United Games Against'!AE9</f>
        <v>-11</v>
      </c>
      <c r="AF9" s="35" t="n">
        <f aca="false">'United Games For'!AF9-'United Games Against'!AF9</f>
        <v>6</v>
      </c>
      <c r="AG9" s="35" t="n">
        <f aca="false">'United Games For'!AG9-'United Games Against'!AG9</f>
        <v>2</v>
      </c>
      <c r="AH9" s="35" t="n">
        <f aca="false">'United Games For'!AH9-'United Games Against'!AH9</f>
        <v>3</v>
      </c>
      <c r="AI9" s="35" t="n">
        <f aca="false">'United Games For'!AI9-'United Games Against'!AI9</f>
        <v>1</v>
      </c>
      <c r="AJ9" s="35" t="n">
        <f aca="false">'United Games For'!AJ9-'United Games Against'!AJ9</f>
        <v>-43</v>
      </c>
      <c r="AK9" s="35" t="n">
        <f aca="false">'United Games For'!AK9-'United Games Against'!AK9</f>
        <v>-18</v>
      </c>
      <c r="AL9" s="35" t="n">
        <f aca="false">'United Games For'!AL9-'United Games Against'!AL9</f>
        <v>-3</v>
      </c>
      <c r="AM9" s="35" t="n">
        <f aca="false">'United Games For'!AM9-'United Games Against'!AM9</f>
        <v>2</v>
      </c>
      <c r="AN9" s="35" t="n">
        <f aca="false">'United Games For'!AN9-'United Games Against'!AN9</f>
        <v>-2</v>
      </c>
      <c r="AO9" s="35" t="n">
        <f aca="false">'United Games For'!AO9-'United Games Against'!AO9</f>
        <v>-4</v>
      </c>
      <c r="AP9" s="35" t="n">
        <f aca="false">'United Games For'!AP9-'United Games Against'!AP9</f>
        <v>-24</v>
      </c>
      <c r="AQ9" s="35" t="n">
        <f aca="false">'United Games For'!AQ9-'United Games Against'!AQ9</f>
        <v>-14</v>
      </c>
      <c r="AR9" s="35" t="n">
        <f aca="false">'United Games For'!AR9-'United Games Against'!AR9</f>
        <v>-5</v>
      </c>
      <c r="AS9" s="35" t="n">
        <f aca="false">'United Games For'!AS9-'United Games Against'!AS9</f>
        <v>-18</v>
      </c>
      <c r="AT9" s="35" t="n">
        <f aca="false">'United Games For'!AT9-'United Games Against'!AT9</f>
        <v>-1</v>
      </c>
      <c r="AU9" s="35" t="n">
        <f aca="false">'United Games For'!AU9-'United Games Against'!AU9</f>
        <v>-6</v>
      </c>
      <c r="AV9" s="35" t="n">
        <f aca="false">'United Games For'!AV9-'United Games Against'!AV9</f>
        <v>-3</v>
      </c>
      <c r="AW9" s="35" t="n">
        <f aca="false">'United Games For'!AW9-'United Games Against'!AW9</f>
        <v>2</v>
      </c>
      <c r="AX9" s="35" t="n">
        <f aca="false">'United Games For'!AX9-'United Games Against'!AX9</f>
        <v>-3</v>
      </c>
      <c r="AY9" s="35" t="n">
        <f aca="false">'United Games For'!AY9-'United Games Against'!AY9</f>
        <v>-7</v>
      </c>
      <c r="AZ9" s="35" t="n">
        <f aca="false">'United Games For'!AZ9-'United Games Against'!AZ9</f>
        <v>-9</v>
      </c>
      <c r="BA9" s="35" t="n">
        <f aca="false">'United Games For'!BA9-'United Games Against'!BA9</f>
        <v>1</v>
      </c>
      <c r="BB9" s="35" t="n">
        <f aca="false">'United Games For'!BB9-'United Games Against'!BB9</f>
        <v>3</v>
      </c>
      <c r="BC9" s="35" t="n">
        <f aca="false">'United Games For'!BC9-'United Games Against'!BC9</f>
        <v>8</v>
      </c>
      <c r="BD9" s="35" t="n">
        <f aca="false">'United Games For'!BD9-'United Games Against'!BD9</f>
        <v>-9</v>
      </c>
      <c r="BE9" s="35" t="n">
        <f aca="false">'United Games For'!BE9-'United Games Against'!BE9</f>
        <v>-3</v>
      </c>
      <c r="BF9" s="35" t="n">
        <f aca="false">'United Games For'!BF9-'United Games Against'!BF9</f>
        <v>3</v>
      </c>
      <c r="BG9" s="35" t="n">
        <f aca="false">'United Games For'!BG9-'United Games Against'!BG9</f>
        <v>24</v>
      </c>
      <c r="BH9" s="35" t="n">
        <f aca="false">'United Games For'!BH9-'United Games Against'!BH9</f>
        <v>48</v>
      </c>
      <c r="BI9" s="35" t="n">
        <f aca="false">'United Games For'!BI9-'United Games Against'!BI9</f>
        <v>-13</v>
      </c>
      <c r="BJ9" s="35" t="n">
        <f aca="false">'United Games For'!BJ9-'United Games Against'!BJ9</f>
        <v>35</v>
      </c>
      <c r="BK9" s="35" t="n">
        <f aca="false">'United Games For'!BK9-'United Games Against'!BK9</f>
        <v>-4</v>
      </c>
      <c r="BL9" s="35" t="n">
        <f aca="false">'United Games For'!BL9-'United Games Against'!BL9</f>
        <v>2</v>
      </c>
    </row>
    <row r="10" customFormat="false" ht="15" hidden="false" customHeight="false" outlineLevel="0" collapsed="false">
      <c r="A10" s="12" t="str">
        <f aca="false">'United Games For'!A10</f>
        <v>Echuca</v>
      </c>
      <c r="B10" s="34" t="n">
        <f aca="false">'United Games For'!B10</f>
        <v>6</v>
      </c>
      <c r="C10" s="12" t="str">
        <f aca="false">'United Games For'!C10</f>
        <v>Home &amp; away</v>
      </c>
      <c r="D10" s="12" t="str">
        <f aca="false">'United Games For'!D10</f>
        <v>L</v>
      </c>
      <c r="E10" s="35" t="n">
        <f aca="false">'United Games For'!E10-'United Games Against'!E10</f>
        <v>-2</v>
      </c>
      <c r="F10" s="35" t="n">
        <f aca="false">'United Games For'!F10-'United Games Against'!F10</f>
        <v>17</v>
      </c>
      <c r="G10" s="35" t="n">
        <f aca="false">'United Games For'!G10-'United Games Against'!G10</f>
        <v>-19</v>
      </c>
      <c r="H10" s="35" t="n">
        <f aca="false">'United Games For'!H10-'United Games Against'!H10</f>
        <v>3</v>
      </c>
      <c r="I10" s="35" t="n">
        <f aca="false">'United Games For'!I10-'United Games Against'!I10</f>
        <v>0</v>
      </c>
      <c r="J10" s="35" t="n">
        <f aca="false">'United Games For'!J10-'United Games Against'!J10</f>
        <v>1</v>
      </c>
      <c r="K10" s="35" t="n">
        <f aca="false">'United Games For'!K10-'United Games Against'!K10</f>
        <v>-1</v>
      </c>
      <c r="L10" s="35" t="n">
        <f aca="false">'United Games For'!L10-'United Games Against'!L10</f>
        <v>9</v>
      </c>
      <c r="M10" s="35" t="n">
        <f aca="false">'United Games For'!M10-'United Games Against'!M10</f>
        <v>-10</v>
      </c>
      <c r="N10" s="35" t="n">
        <f aca="false">'United Games For'!N10-'United Games Against'!N10</f>
        <v>-10</v>
      </c>
      <c r="O10" s="35" t="n">
        <f aca="false">'United Games For'!O10-'United Games Against'!O10</f>
        <v>24</v>
      </c>
      <c r="P10" s="35" t="n">
        <f aca="false">'United Games For'!P10-'United Games Against'!P10</f>
        <v>7</v>
      </c>
      <c r="Q10" s="35" t="n">
        <f aca="false">'United Games For'!Q10-'United Games Against'!Q10</f>
        <v>17</v>
      </c>
      <c r="R10" s="35" t="n">
        <f aca="false">'United Games For'!R10-'United Games Against'!R10</f>
        <v>3</v>
      </c>
      <c r="S10" s="35" t="n">
        <f aca="false">'United Games For'!S10-'United Games Against'!S10</f>
        <v>3</v>
      </c>
      <c r="T10" s="35" t="n">
        <f aca="false">'United Games For'!T10-'United Games Against'!T10</f>
        <v>-65</v>
      </c>
      <c r="U10" s="35" t="n">
        <f aca="false">'United Games For'!U10-'United Games Against'!U10</f>
        <v>-20</v>
      </c>
      <c r="V10" s="35" t="n">
        <f aca="false">'United Games For'!V10-'United Games Against'!V10</f>
        <v>-6</v>
      </c>
      <c r="W10" s="35" t="n">
        <f aca="false">'United Games For'!W10-'United Games Against'!W10</f>
        <v>-9</v>
      </c>
      <c r="X10" s="35" t="n">
        <f aca="false">'United Games For'!X10-'United Games Against'!X10</f>
        <v>-2</v>
      </c>
      <c r="Y10" s="35" t="n">
        <f aca="false">'United Games For'!Y10-'United Games Against'!Y10</f>
        <v>-3</v>
      </c>
      <c r="Z10" s="35" t="n">
        <f aca="false">'United Games For'!Z10-'United Games Against'!Z10</f>
        <v>-4</v>
      </c>
      <c r="AA10" s="35" t="n">
        <f aca="false">'United Games For'!AA10-'United Games Against'!AA10</f>
        <v>0</v>
      </c>
      <c r="AB10" s="35" t="n">
        <f aca="false">'United Games For'!AB10-'United Games Against'!AB10</f>
        <v>-7</v>
      </c>
      <c r="AC10" s="35" t="n">
        <f aca="false">'United Games For'!AC10-'United Games Against'!AC10</f>
        <v>3</v>
      </c>
      <c r="AD10" s="35" t="n">
        <f aca="false">'United Games For'!AD10-'United Games Against'!AD10</f>
        <v>-5</v>
      </c>
      <c r="AE10" s="35" t="n">
        <f aca="false">'United Games For'!AE10-'United Games Against'!AE10</f>
        <v>-7</v>
      </c>
      <c r="AF10" s="35" t="n">
        <f aca="false">'United Games For'!AF10-'United Games Against'!AF10</f>
        <v>-2</v>
      </c>
      <c r="AG10" s="35" t="n">
        <f aca="false">'United Games For'!AG10-'United Games Against'!AG10</f>
        <v>4</v>
      </c>
      <c r="AH10" s="35" t="n">
        <f aca="false">'United Games For'!AH10-'United Games Against'!AH10</f>
        <v>-1</v>
      </c>
      <c r="AI10" s="35" t="n">
        <f aca="false">'United Games For'!AI10-'United Games Against'!AI10</f>
        <v>-5</v>
      </c>
      <c r="AJ10" s="35" t="n">
        <f aca="false">'United Games For'!AJ10-'United Games Against'!AJ10</f>
        <v>-30</v>
      </c>
      <c r="AK10" s="35" t="n">
        <f aca="false">'United Games For'!AK10-'United Games Against'!AK10</f>
        <v>-7</v>
      </c>
      <c r="AL10" s="35" t="n">
        <f aca="false">'United Games For'!AL10-'United Games Against'!AL10</f>
        <v>-2</v>
      </c>
      <c r="AM10" s="35" t="n">
        <f aca="false">'United Games For'!AM10-'United Games Against'!AM10</f>
        <v>-4</v>
      </c>
      <c r="AN10" s="35" t="n">
        <f aca="false">'United Games For'!AN10-'United Games Against'!AN10</f>
        <v>-1</v>
      </c>
      <c r="AO10" s="35" t="n">
        <f aca="false">'United Games For'!AO10-'United Games Against'!AO10</f>
        <v>-1</v>
      </c>
      <c r="AP10" s="35" t="n">
        <f aca="false">'United Games For'!AP10-'United Games Against'!AP10</f>
        <v>-17</v>
      </c>
      <c r="AQ10" s="35" t="n">
        <f aca="false">'United Games For'!AQ10-'United Games Against'!AQ10</f>
        <v>-12</v>
      </c>
      <c r="AR10" s="35" t="n">
        <f aca="false">'United Games For'!AR10-'United Games Against'!AR10</f>
        <v>-13</v>
      </c>
      <c r="AS10" s="35" t="n">
        <f aca="false">'United Games For'!AS10-'United Games Against'!AS10</f>
        <v>-20</v>
      </c>
      <c r="AT10" s="35" t="n">
        <f aca="false">'United Games For'!AT10-'United Games Against'!AT10</f>
        <v>16</v>
      </c>
      <c r="AU10" s="35" t="n">
        <f aca="false">'United Games For'!AU10-'United Games Against'!AU10</f>
        <v>-7</v>
      </c>
      <c r="AV10" s="35" t="n">
        <f aca="false">'United Games For'!AV10-'United Games Against'!AV10</f>
        <v>1</v>
      </c>
      <c r="AW10" s="35" t="n">
        <f aca="false">'United Games For'!AW10-'United Games Against'!AW10</f>
        <v>4</v>
      </c>
      <c r="AX10" s="35" t="n">
        <f aca="false">'United Games For'!AX10-'United Games Against'!AX10</f>
        <v>-5</v>
      </c>
      <c r="AY10" s="35" t="n">
        <f aca="false">'United Games For'!AY10-'United Games Against'!AY10</f>
        <v>-2</v>
      </c>
      <c r="AZ10" s="35" t="n">
        <f aca="false">'United Games For'!AZ10-'United Games Against'!AZ10</f>
        <v>-28</v>
      </c>
      <c r="BA10" s="35" t="n">
        <f aca="false">'United Games For'!BA10-'United Games Against'!BA10</f>
        <v>0</v>
      </c>
      <c r="BB10" s="35" t="n">
        <f aca="false">'United Games For'!BB10-'United Games Against'!BB10</f>
        <v>-10</v>
      </c>
      <c r="BC10" s="35" t="n">
        <f aca="false">'United Games For'!BC10-'United Games Against'!BC10</f>
        <v>-3</v>
      </c>
      <c r="BD10" s="35" t="n">
        <f aca="false">'United Games For'!BD10-'United Games Against'!BD10</f>
        <v>7</v>
      </c>
      <c r="BE10" s="35" t="n">
        <f aca="false">'United Games For'!BE10-'United Games Against'!BE10</f>
        <v>-2</v>
      </c>
      <c r="BF10" s="35" t="n">
        <f aca="false">'United Games For'!BF10-'United Games Against'!BF10</f>
        <v>9</v>
      </c>
      <c r="BG10" s="35" t="n">
        <f aca="false">'United Games For'!BG10-'United Games Against'!BG10</f>
        <v>-4</v>
      </c>
      <c r="BH10" s="35" t="n">
        <f aca="false">'United Games For'!BH10-'United Games Against'!BH10</f>
        <v>4</v>
      </c>
      <c r="BI10" s="35" t="n">
        <f aca="false">'United Games For'!BI10-'United Games Against'!BI10</f>
        <v>-6</v>
      </c>
      <c r="BJ10" s="35" t="n">
        <f aca="false">'United Games For'!BJ10-'United Games Against'!BJ10</f>
        <v>-2</v>
      </c>
      <c r="BK10" s="35" t="n">
        <f aca="false">'United Games For'!BK10-'United Games Against'!BK10</f>
        <v>-6</v>
      </c>
      <c r="BL10" s="35" t="n">
        <f aca="false">'United Games For'!BL10-'United Games Against'!BL10</f>
        <v>-1</v>
      </c>
    </row>
    <row r="11" customFormat="false" ht="15" hidden="false" customHeight="false" outlineLevel="0" collapsed="false">
      <c r="A11" s="12" t="str">
        <f aca="false">'United Games For'!A11</f>
        <v>Tatura</v>
      </c>
      <c r="B11" s="34" t="n">
        <f aca="false">'United Games For'!B11</f>
        <v>7</v>
      </c>
      <c r="C11" s="12" t="str">
        <f aca="false">'United Games For'!C11</f>
        <v>Home &amp; away</v>
      </c>
      <c r="D11" s="12" t="str">
        <f aca="false">'United Games For'!D11</f>
        <v>W</v>
      </c>
      <c r="E11" s="35" t="n">
        <f aca="false">'United Games For'!E11-'United Games Against'!E11</f>
        <v>157</v>
      </c>
      <c r="F11" s="35" t="n">
        <f aca="false">'United Games For'!F11-'United Games Against'!F11</f>
        <v>99</v>
      </c>
      <c r="G11" s="35" t="n">
        <f aca="false">'United Games For'!G11-'United Games Against'!G11</f>
        <v>58</v>
      </c>
      <c r="H11" s="35" t="n">
        <f aca="false">'United Games For'!H11-'United Games Against'!H11</f>
        <v>39</v>
      </c>
      <c r="I11" s="35" t="n">
        <f aca="false">'United Games For'!I11-'United Games Against'!I11</f>
        <v>30</v>
      </c>
      <c r="J11" s="35" t="n">
        <f aca="false">'United Games For'!J11-'United Games Against'!J11</f>
        <v>6</v>
      </c>
      <c r="K11" s="35" t="n">
        <f aca="false">'United Games For'!K11-'United Games Against'!K11</f>
        <v>24</v>
      </c>
      <c r="L11" s="35" t="n">
        <f aca="false">'United Games For'!L11-'United Games Against'!L11</f>
        <v>10</v>
      </c>
      <c r="M11" s="35" t="n">
        <f aca="false">'United Games For'!M11-'United Games Against'!M11</f>
        <v>16</v>
      </c>
      <c r="N11" s="35" t="n">
        <f aca="false">'United Games For'!N11-'United Games Against'!N11</f>
        <v>2</v>
      </c>
      <c r="O11" s="35" t="n">
        <f aca="false">'United Games For'!O11-'United Games Against'!O11</f>
        <v>77</v>
      </c>
      <c r="P11" s="35" t="n">
        <f aca="false">'United Games For'!P11-'United Games Against'!P11</f>
        <v>4</v>
      </c>
      <c r="Q11" s="35" t="n">
        <f aca="false">'United Games For'!Q11-'United Games Against'!Q11</f>
        <v>73</v>
      </c>
      <c r="R11" s="35" t="n">
        <f aca="false">'United Games For'!R11-'United Games Against'!R11</f>
        <v>6</v>
      </c>
      <c r="S11" s="35" t="n">
        <f aca="false">'United Games For'!S11-'United Games Against'!S11</f>
        <v>21</v>
      </c>
      <c r="T11" s="35" t="n">
        <f aca="false">'United Games For'!T11-'United Games Against'!T11</f>
        <v>957</v>
      </c>
      <c r="U11" s="35" t="n">
        <f aca="false">'United Games For'!U11-'United Games Against'!U11</f>
        <v>6</v>
      </c>
      <c r="V11" s="35" t="n">
        <f aca="false">'United Games For'!V11-'United Games Against'!V11</f>
        <v>6</v>
      </c>
      <c r="W11" s="35" t="n">
        <f aca="false">'United Games For'!W11-'United Games Against'!W11</f>
        <v>11</v>
      </c>
      <c r="X11" s="35" t="n">
        <f aca="false">'United Games For'!X11-'United Games Against'!X11</f>
        <v>-1</v>
      </c>
      <c r="Y11" s="35" t="n">
        <f aca="false">'United Games For'!Y11-'United Games Against'!Y11</f>
        <v>9</v>
      </c>
      <c r="Z11" s="35" t="n">
        <f aca="false">'United Games For'!Z11-'United Games Against'!Z11</f>
        <v>3</v>
      </c>
      <c r="AA11" s="35" t="n">
        <f aca="false">'United Games For'!AA11-'United Games Against'!AA11</f>
        <v>30</v>
      </c>
      <c r="AB11" s="35" t="n">
        <f aca="false">'United Games For'!AB11-'United Games Against'!AB11</f>
        <v>-12</v>
      </c>
      <c r="AC11" s="35" t="n">
        <f aca="false">'United Games For'!AC11-'United Games Against'!AC11</f>
        <v>4</v>
      </c>
      <c r="AD11" s="35" t="n">
        <f aca="false">'United Games For'!AD11-'United Games Against'!AD11</f>
        <v>-8</v>
      </c>
      <c r="AE11" s="35" t="n">
        <f aca="false">'United Games For'!AE11-'United Games Against'!AE11</f>
        <v>1</v>
      </c>
      <c r="AF11" s="35" t="n">
        <f aca="false">'United Games For'!AF11-'United Games Against'!AF11</f>
        <v>-10</v>
      </c>
      <c r="AG11" s="35" t="n">
        <f aca="false">'United Games For'!AG11-'United Games Against'!AG11</f>
        <v>-8</v>
      </c>
      <c r="AH11" s="35" t="n">
        <f aca="false">'United Games For'!AH11-'United Games Against'!AH11</f>
        <v>-17</v>
      </c>
      <c r="AI11" s="35" t="n">
        <f aca="false">'United Games For'!AI11-'United Games Against'!AI11</f>
        <v>15</v>
      </c>
      <c r="AJ11" s="35" t="n">
        <f aca="false">'United Games For'!AJ11-'United Games Against'!AJ11</f>
        <v>7</v>
      </c>
      <c r="AK11" s="35" t="n">
        <f aca="false">'United Games For'!AK11-'United Games Against'!AK11</f>
        <v>-17</v>
      </c>
      <c r="AL11" s="35" t="n">
        <f aca="false">'United Games For'!AL11-'United Games Against'!AL11</f>
        <v>-3</v>
      </c>
      <c r="AM11" s="35" t="n">
        <f aca="false">'United Games For'!AM11-'United Games Against'!AM11</f>
        <v>-1</v>
      </c>
      <c r="AN11" s="35" t="n">
        <f aca="false">'United Games For'!AN11-'United Games Against'!AN11</f>
        <v>-1</v>
      </c>
      <c r="AO11" s="35" t="n">
        <f aca="false">'United Games For'!AO11-'United Games Against'!AO11</f>
        <v>-2</v>
      </c>
      <c r="AP11" s="35" t="n">
        <f aca="false">'United Games For'!AP11-'United Games Against'!AP11</f>
        <v>28</v>
      </c>
      <c r="AQ11" s="35" t="n">
        <f aca="false">'United Games For'!AQ11-'United Games Against'!AQ11</f>
        <v>23</v>
      </c>
      <c r="AR11" s="35" t="n">
        <f aca="false">'United Games For'!AR11-'United Games Against'!AR11</f>
        <v>10</v>
      </c>
      <c r="AS11" s="35" t="n">
        <f aca="false">'United Games For'!AS11-'United Games Against'!AS11</f>
        <v>15</v>
      </c>
      <c r="AT11" s="35" t="n">
        <f aca="false">'United Games For'!AT11-'United Games Against'!AT11</f>
        <v>3</v>
      </c>
      <c r="AU11" s="35" t="n">
        <f aca="false">'United Games For'!AU11-'United Games Against'!AU11</f>
        <v>15</v>
      </c>
      <c r="AV11" s="35" t="n">
        <f aca="false">'United Games For'!AV11-'United Games Against'!AV11</f>
        <v>9</v>
      </c>
      <c r="AW11" s="35" t="n">
        <f aca="false">'United Games For'!AW11-'United Games Against'!AW11</f>
        <v>0</v>
      </c>
      <c r="AX11" s="35" t="n">
        <f aca="false">'United Games For'!AX11-'United Games Against'!AX11</f>
        <v>22</v>
      </c>
      <c r="AY11" s="35" t="n">
        <f aca="false">'United Games For'!AY11-'United Games Against'!AY11</f>
        <v>24</v>
      </c>
      <c r="AZ11" s="35" t="n">
        <f aca="false">'United Games For'!AZ11-'United Games Against'!AZ11</f>
        <v>12</v>
      </c>
      <c r="BA11" s="35" t="n">
        <f aca="false">'United Games For'!BA11-'United Games Against'!BA11</f>
        <v>12</v>
      </c>
      <c r="BB11" s="35" t="n">
        <f aca="false">'United Games For'!BB11-'United Games Against'!BB11</f>
        <v>19</v>
      </c>
      <c r="BC11" s="35" t="n">
        <f aca="false">'United Games For'!BC11-'United Games Against'!BC11</f>
        <v>15</v>
      </c>
      <c r="BD11" s="35" t="n">
        <f aca="false">'United Games For'!BD11-'United Games Against'!BD11</f>
        <v>7</v>
      </c>
      <c r="BE11" s="35" t="n">
        <f aca="false">'United Games For'!BE11-'United Games Against'!BE11</f>
        <v>43</v>
      </c>
      <c r="BF11" s="35" t="n">
        <f aca="false">'United Games For'!BF11-'United Games Against'!BF11</f>
        <v>14</v>
      </c>
      <c r="BG11" s="35" t="n">
        <f aca="false">'United Games For'!BG11-'United Games Against'!BG11</f>
        <v>12</v>
      </c>
      <c r="BH11" s="35" t="n">
        <f aca="false">'United Games For'!BH11-'United Games Against'!BH11</f>
        <v>98</v>
      </c>
      <c r="BI11" s="35" t="n">
        <f aca="false">'United Games For'!BI11-'United Games Against'!BI11</f>
        <v>57</v>
      </c>
      <c r="BJ11" s="35" t="n">
        <f aca="false">'United Games For'!BJ11-'United Games Against'!BJ11</f>
        <v>155</v>
      </c>
      <c r="BK11" s="35" t="n">
        <f aca="false">'United Games For'!BK11-'United Games Against'!BK11</f>
        <v>23</v>
      </c>
      <c r="BL11" s="35" t="n">
        <f aca="false">'United Games For'!BL11-'United Games Against'!BL11</f>
        <v>-4</v>
      </c>
    </row>
    <row r="12" customFormat="false" ht="15" hidden="false" customHeight="false" outlineLevel="0" collapsed="false">
      <c r="A12" s="12" t="str">
        <f aca="false">'United Games For'!A12</f>
        <v>Kyabram</v>
      </c>
      <c r="B12" s="34" t="n">
        <f aca="false">'United Games For'!B12</f>
        <v>8</v>
      </c>
      <c r="C12" s="12" t="str">
        <f aca="false">'United Games For'!C12</f>
        <v>Home &amp; away</v>
      </c>
      <c r="D12" s="12" t="str">
        <f aca="false">'United Games For'!D12</f>
        <v>W</v>
      </c>
      <c r="E12" s="35" t="n">
        <f aca="false">'United Games For'!E12-'United Games Against'!E12</f>
        <v>32</v>
      </c>
      <c r="F12" s="35" t="n">
        <f aca="false">'United Games For'!F12-'United Games Against'!F12</f>
        <v>-12</v>
      </c>
      <c r="G12" s="35" t="n">
        <f aca="false">'United Games For'!G12-'United Games Against'!G12</f>
        <v>44</v>
      </c>
      <c r="H12" s="35" t="n">
        <f aca="false">'United Games For'!H12-'United Games Against'!H12</f>
        <v>-1</v>
      </c>
      <c r="I12" s="35" t="n">
        <f aca="false">'United Games For'!I12-'United Games Against'!I12</f>
        <v>13</v>
      </c>
      <c r="J12" s="35" t="n">
        <f aca="false">'United Games For'!J12-'United Games Against'!J12</f>
        <v>8</v>
      </c>
      <c r="K12" s="35" t="n">
        <f aca="false">'United Games For'!K12-'United Games Against'!K12</f>
        <v>5</v>
      </c>
      <c r="L12" s="35" t="n">
        <f aca="false">'United Games For'!L12-'United Games Against'!L12</f>
        <v>0</v>
      </c>
      <c r="M12" s="35" t="n">
        <f aca="false">'United Games For'!M12-'United Games Against'!M12</f>
        <v>-16</v>
      </c>
      <c r="N12" s="35" t="n">
        <f aca="false">'United Games For'!N12-'United Games Against'!N12</f>
        <v>5</v>
      </c>
      <c r="O12" s="35" t="n">
        <f aca="false">'United Games For'!O12-'United Games Against'!O12</f>
        <v>4</v>
      </c>
      <c r="P12" s="35" t="n">
        <f aca="false">'United Games For'!P12-'United Games Against'!P12</f>
        <v>-5</v>
      </c>
      <c r="Q12" s="35" t="n">
        <f aca="false">'United Games For'!Q12-'United Games Against'!Q12</f>
        <v>9</v>
      </c>
      <c r="R12" s="35" t="n">
        <f aca="false">'United Games For'!R12-'United Games Against'!R12</f>
        <v>1</v>
      </c>
      <c r="S12" s="35" t="n">
        <f aca="false">'United Games For'!S12-'United Games Against'!S12</f>
        <v>11</v>
      </c>
      <c r="T12" s="35" t="n">
        <f aca="false">'United Games For'!T12-'United Games Against'!T12</f>
        <v>117</v>
      </c>
      <c r="U12" s="35" t="n">
        <f aca="false">'United Games For'!U12-'United Games Against'!U12</f>
        <v>14</v>
      </c>
      <c r="V12" s="35" t="n">
        <f aca="false">'United Games For'!V12-'United Games Against'!V12</f>
        <v>3</v>
      </c>
      <c r="W12" s="35" t="n">
        <f aca="false">'United Games For'!W12-'United Games Against'!W12</f>
        <v>4</v>
      </c>
      <c r="X12" s="35" t="n">
        <f aca="false">'United Games For'!X12-'United Games Against'!X12</f>
        <v>-2</v>
      </c>
      <c r="Y12" s="35" t="n">
        <f aca="false">'United Games For'!Y12-'United Games Against'!Y12</f>
        <v>4</v>
      </c>
      <c r="Z12" s="35" t="n">
        <f aca="false">'United Games For'!Z12-'United Games Against'!Z12</f>
        <v>2</v>
      </c>
      <c r="AA12" s="35" t="n">
        <f aca="false">'United Games For'!AA12-'United Games Against'!AA12</f>
        <v>1</v>
      </c>
      <c r="AB12" s="35" t="n">
        <f aca="false">'United Games For'!AB12-'United Games Against'!AB12</f>
        <v>-1</v>
      </c>
      <c r="AC12" s="35" t="n">
        <f aca="false">'United Games For'!AC12-'United Games Against'!AC12</f>
        <v>4</v>
      </c>
      <c r="AD12" s="35" t="n">
        <f aca="false">'United Games For'!AD12-'United Games Against'!AD12</f>
        <v>-12</v>
      </c>
      <c r="AE12" s="35" t="n">
        <f aca="false">'United Games For'!AE12-'United Games Against'!AE12</f>
        <v>24</v>
      </c>
      <c r="AF12" s="35" t="n">
        <f aca="false">'United Games For'!AF12-'United Games Against'!AF12</f>
        <v>0</v>
      </c>
      <c r="AG12" s="35" t="n">
        <f aca="false">'United Games For'!AG12-'United Games Against'!AG12</f>
        <v>0</v>
      </c>
      <c r="AH12" s="35" t="n">
        <f aca="false">'United Games For'!AH12-'United Games Against'!AH12</f>
        <v>3</v>
      </c>
      <c r="AI12" s="35" t="n">
        <f aca="false">'United Games For'!AI12-'United Games Against'!AI12</f>
        <v>-3</v>
      </c>
      <c r="AJ12" s="35" t="n">
        <f aca="false">'United Games For'!AJ12-'United Games Against'!AJ12</f>
        <v>-22</v>
      </c>
      <c r="AK12" s="35" t="n">
        <f aca="false">'United Games For'!AK12-'United Games Against'!AK12</f>
        <v>1</v>
      </c>
      <c r="AL12" s="35" t="n">
        <f aca="false">'United Games For'!AL12-'United Games Against'!AL12</f>
        <v>7</v>
      </c>
      <c r="AM12" s="35" t="n">
        <f aca="false">'United Games For'!AM12-'United Games Against'!AM12</f>
        <v>-4</v>
      </c>
      <c r="AN12" s="35" t="n">
        <f aca="false">'United Games For'!AN12-'United Games Against'!AN12</f>
        <v>10</v>
      </c>
      <c r="AO12" s="35" t="n">
        <f aca="false">'United Games For'!AO12-'United Games Against'!AO12</f>
        <v>-4</v>
      </c>
      <c r="AP12" s="35" t="n">
        <f aca="false">'United Games For'!AP12-'United Games Against'!AP12</f>
        <v>-26</v>
      </c>
      <c r="AQ12" s="35" t="n">
        <f aca="false">'United Games For'!AQ12-'United Games Against'!AQ12</f>
        <v>-14</v>
      </c>
      <c r="AR12" s="35" t="n">
        <f aca="false">'United Games For'!AR12-'United Games Against'!AR12</f>
        <v>-12</v>
      </c>
      <c r="AS12" s="35" t="n">
        <f aca="false">'United Games For'!AS12-'United Games Against'!AS12</f>
        <v>-12</v>
      </c>
      <c r="AT12" s="35" t="n">
        <f aca="false">'United Games For'!AT12-'United Games Against'!AT12</f>
        <v>-2</v>
      </c>
      <c r="AU12" s="35" t="n">
        <f aca="false">'United Games For'!AU12-'United Games Against'!AU12</f>
        <v>-1</v>
      </c>
      <c r="AV12" s="35" t="n">
        <f aca="false">'United Games For'!AV12-'United Games Against'!AV12</f>
        <v>7</v>
      </c>
      <c r="AW12" s="35" t="n">
        <f aca="false">'United Games For'!AW12-'United Games Against'!AW12</f>
        <v>5</v>
      </c>
      <c r="AX12" s="35" t="n">
        <f aca="false">'United Games For'!AX12-'United Games Against'!AX12</f>
        <v>22</v>
      </c>
      <c r="AY12" s="35" t="n">
        <f aca="false">'United Games For'!AY12-'United Games Against'!AY12</f>
        <v>11</v>
      </c>
      <c r="AZ12" s="35" t="n">
        <f aca="false">'United Games For'!AZ12-'United Games Against'!AZ12</f>
        <v>-27</v>
      </c>
      <c r="BA12" s="35" t="n">
        <f aca="false">'United Games For'!BA12-'United Games Against'!BA12</f>
        <v>1</v>
      </c>
      <c r="BB12" s="35" t="n">
        <f aca="false">'United Games For'!BB12-'United Games Against'!BB12</f>
        <v>5</v>
      </c>
      <c r="BC12" s="35" t="n">
        <f aca="false">'United Games For'!BC12-'United Games Against'!BC12</f>
        <v>-1</v>
      </c>
      <c r="BD12" s="35" t="n">
        <f aca="false">'United Games For'!BD12-'United Games Against'!BD12</f>
        <v>2</v>
      </c>
      <c r="BE12" s="35" t="n">
        <f aca="false">'United Games For'!BE12-'United Games Against'!BE12</f>
        <v>-8</v>
      </c>
      <c r="BF12" s="35" t="n">
        <f aca="false">'United Games For'!BF12-'United Games Against'!BF12</f>
        <v>4</v>
      </c>
      <c r="BG12" s="35" t="n">
        <f aca="false">'United Games For'!BG12-'United Games Against'!BG12</f>
        <v>12</v>
      </c>
      <c r="BH12" s="35" t="n">
        <f aca="false">'United Games For'!BH12-'United Games Against'!BH12</f>
        <v>-11</v>
      </c>
      <c r="BI12" s="35" t="n">
        <f aca="false">'United Games For'!BI12-'United Games Against'!BI12</f>
        <v>37</v>
      </c>
      <c r="BJ12" s="35" t="n">
        <f aca="false">'United Games For'!BJ12-'United Games Against'!BJ12</f>
        <v>26</v>
      </c>
      <c r="BK12" s="35" t="n">
        <f aca="false">'United Games For'!BK12-'United Games Against'!BK12</f>
        <v>-1</v>
      </c>
      <c r="BL12" s="35" t="n">
        <f aca="false">'United Games For'!BL12-'United Games Against'!BL12</f>
        <v>1</v>
      </c>
    </row>
    <row r="13" customFormat="false" ht="15" hidden="false" customHeight="false" outlineLevel="0" collapsed="false">
      <c r="A13" s="12" t="str">
        <f aca="false">'United Games For'!A13</f>
        <v>Benalla</v>
      </c>
      <c r="B13" s="34" t="n">
        <f aca="false">'United Games For'!B13</f>
        <v>9</v>
      </c>
      <c r="C13" s="12" t="str">
        <f aca="false">'United Games For'!C13</f>
        <v>Home &amp; away</v>
      </c>
      <c r="D13" s="12" t="str">
        <f aca="false">'United Games For'!D13</f>
        <v>W</v>
      </c>
      <c r="E13" s="35" t="n">
        <f aca="false">'United Games For'!E13-'United Games Against'!E13</f>
        <v>140</v>
      </c>
      <c r="F13" s="35" t="n">
        <f aca="false">'United Games For'!F13-'United Games Against'!F13</f>
        <v>110</v>
      </c>
      <c r="G13" s="35" t="n">
        <f aca="false">'United Games For'!G13-'United Games Against'!G13</f>
        <v>30</v>
      </c>
      <c r="H13" s="35" t="n">
        <f aca="false">'United Games For'!H13-'United Games Against'!H13</f>
        <v>-8</v>
      </c>
      <c r="I13" s="35" t="n">
        <f aca="false">'United Games For'!I13-'United Games Against'!I13</f>
        <v>0</v>
      </c>
      <c r="J13" s="35" t="n">
        <f aca="false">'United Games For'!J13-'United Games Against'!J13</f>
        <v>3</v>
      </c>
      <c r="K13" s="35" t="n">
        <f aca="false">'United Games For'!K13-'United Games Against'!K13</f>
        <v>-3</v>
      </c>
      <c r="L13" s="35" t="n">
        <f aca="false">'United Games For'!L13-'United Games Against'!L13</f>
        <v>8</v>
      </c>
      <c r="M13" s="35" t="n">
        <f aca="false">'United Games For'!M13-'United Games Against'!M13</f>
        <v>22</v>
      </c>
      <c r="N13" s="35" t="n">
        <f aca="false">'United Games For'!N13-'United Games Against'!N13</f>
        <v>2</v>
      </c>
      <c r="O13" s="35" t="n">
        <f aca="false">'United Games For'!O13-'United Games Against'!O13</f>
        <v>88</v>
      </c>
      <c r="P13" s="35" t="n">
        <f aca="false">'United Games For'!P13-'United Games Against'!P13</f>
        <v>-1</v>
      </c>
      <c r="Q13" s="35" t="n">
        <f aca="false">'United Games For'!Q13-'United Games Against'!Q13</f>
        <v>89</v>
      </c>
      <c r="R13" s="35" t="n">
        <f aca="false">'United Games For'!R13-'United Games Against'!R13</f>
        <v>5</v>
      </c>
      <c r="S13" s="35" t="n">
        <f aca="false">'United Games For'!S13-'United Games Against'!S13</f>
        <v>14</v>
      </c>
      <c r="T13" s="35" t="n">
        <f aca="false">'United Games For'!T13-'United Games Against'!T13</f>
        <v>753</v>
      </c>
      <c r="U13" s="35" t="n">
        <f aca="false">'United Games For'!U13-'United Games Against'!U13</f>
        <v>-7</v>
      </c>
      <c r="V13" s="35" t="n">
        <f aca="false">'United Games For'!V13-'United Games Against'!V13</f>
        <v>6</v>
      </c>
      <c r="W13" s="35" t="n">
        <f aca="false">'United Games For'!W13-'United Games Against'!W13</f>
        <v>6</v>
      </c>
      <c r="X13" s="35" t="n">
        <f aca="false">'United Games For'!X13-'United Games Against'!X13</f>
        <v>6</v>
      </c>
      <c r="Y13" s="35" t="n">
        <f aca="false">'United Games For'!Y13-'United Games Against'!Y13</f>
        <v>1</v>
      </c>
      <c r="Z13" s="35" t="n">
        <f aca="false">'United Games For'!Z13-'United Games Against'!Z13</f>
        <v>-1</v>
      </c>
      <c r="AA13" s="35" t="n">
        <f aca="false">'United Games For'!AA13-'United Games Against'!AA13</f>
        <v>31</v>
      </c>
      <c r="AB13" s="35" t="n">
        <f aca="false">'United Games For'!AB13-'United Games Against'!AB13</f>
        <v>-15</v>
      </c>
      <c r="AC13" s="35" t="n">
        <f aca="false">'United Games For'!AC13-'United Games Against'!AC13</f>
        <v>-6</v>
      </c>
      <c r="AD13" s="35" t="n">
        <f aca="false">'United Games For'!AD13-'United Games Against'!AD13</f>
        <v>-6</v>
      </c>
      <c r="AE13" s="35" t="n">
        <f aca="false">'United Games For'!AE13-'United Games Against'!AE13</f>
        <v>-20</v>
      </c>
      <c r="AF13" s="35" t="n">
        <f aca="false">'United Games For'!AF13-'United Games Against'!AF13</f>
        <v>-9</v>
      </c>
      <c r="AG13" s="35" t="n">
        <f aca="false">'United Games For'!AG13-'United Games Against'!AG13</f>
        <v>-10</v>
      </c>
      <c r="AH13" s="35" t="n">
        <f aca="false">'United Games For'!AH13-'United Games Against'!AH13</f>
        <v>-16</v>
      </c>
      <c r="AI13" s="35" t="n">
        <f aca="false">'United Games For'!AI13-'United Games Against'!AI13</f>
        <v>17</v>
      </c>
      <c r="AJ13" s="35" t="n">
        <f aca="false">'United Games For'!AJ13-'United Games Against'!AJ13</f>
        <v>-16</v>
      </c>
      <c r="AK13" s="35" t="n">
        <f aca="false">'United Games For'!AK13-'United Games Against'!AK13</f>
        <v>-1</v>
      </c>
      <c r="AL13" s="35" t="n">
        <f aca="false">'United Games For'!AL13-'United Games Against'!AL13</f>
        <v>-19</v>
      </c>
      <c r="AM13" s="35" t="n">
        <f aca="false">'United Games For'!AM13-'United Games Against'!AM13</f>
        <v>-1</v>
      </c>
      <c r="AN13" s="35" t="n">
        <f aca="false">'United Games For'!AN13-'United Games Against'!AN13</f>
        <v>-5</v>
      </c>
      <c r="AO13" s="35" t="n">
        <f aca="false">'United Games For'!AO13-'United Games Against'!AO13</f>
        <v>3</v>
      </c>
      <c r="AP13" s="35" t="n">
        <f aca="false">'United Games For'!AP13-'United Games Against'!AP13</f>
        <v>5</v>
      </c>
      <c r="AQ13" s="35" t="n">
        <f aca="false">'United Games For'!AQ13-'United Games Against'!AQ13</f>
        <v>9</v>
      </c>
      <c r="AR13" s="35" t="n">
        <f aca="false">'United Games For'!AR13-'United Games Against'!AR13</f>
        <v>11</v>
      </c>
      <c r="AS13" s="35" t="n">
        <f aca="false">'United Games For'!AS13-'United Games Against'!AS13</f>
        <v>7</v>
      </c>
      <c r="AT13" s="35" t="n">
        <f aca="false">'United Games For'!AT13-'United Games Against'!AT13</f>
        <v>-13</v>
      </c>
      <c r="AU13" s="35" t="n">
        <f aca="false">'United Games For'!AU13-'United Games Against'!AU13</f>
        <v>16</v>
      </c>
      <c r="AV13" s="35" t="n">
        <f aca="false">'United Games For'!AV13-'United Games Against'!AV13</f>
        <v>3</v>
      </c>
      <c r="AW13" s="35" t="n">
        <f aca="false">'United Games For'!AW13-'United Games Against'!AW13</f>
        <v>3</v>
      </c>
      <c r="AX13" s="35" t="n">
        <f aca="false">'United Games For'!AX13-'United Games Against'!AX13</f>
        <v>19</v>
      </c>
      <c r="AY13" s="35" t="n">
        <f aca="false">'United Games For'!AY13-'United Games Against'!AY13</f>
        <v>22</v>
      </c>
      <c r="AZ13" s="35" t="n">
        <f aca="false">'United Games For'!AZ13-'United Games Against'!AZ13</f>
        <v>8</v>
      </c>
      <c r="BA13" s="35" t="n">
        <f aca="false">'United Games For'!BA13-'United Games Against'!BA13</f>
        <v>15</v>
      </c>
      <c r="BB13" s="35" t="n">
        <f aca="false">'United Games For'!BB13-'United Games Against'!BB13</f>
        <v>15</v>
      </c>
      <c r="BC13" s="35" t="n">
        <f aca="false">'United Games For'!BC13-'United Games Against'!BC13</f>
        <v>19</v>
      </c>
      <c r="BD13" s="35" t="n">
        <f aca="false">'United Games For'!BD13-'United Games Against'!BD13</f>
        <v>11</v>
      </c>
      <c r="BE13" s="35" t="n">
        <f aca="false">'United Games For'!BE13-'United Games Against'!BE13</f>
        <v>21</v>
      </c>
      <c r="BF13" s="35" t="n">
        <f aca="false">'United Games For'!BF13-'United Games Against'!BF13</f>
        <v>28</v>
      </c>
      <c r="BG13" s="35" t="n">
        <f aca="false">'United Games For'!BG13-'United Games Against'!BG13</f>
        <v>40</v>
      </c>
      <c r="BH13" s="35" t="n">
        <f aca="false">'United Games For'!BH13-'United Games Against'!BH13</f>
        <v>115</v>
      </c>
      <c r="BI13" s="35" t="n">
        <f aca="false">'United Games For'!BI13-'United Games Against'!BI13</f>
        <v>38</v>
      </c>
      <c r="BJ13" s="35" t="n">
        <f aca="false">'United Games For'!BJ13-'United Games Against'!BJ13</f>
        <v>153</v>
      </c>
      <c r="BK13" s="35" t="n">
        <f aca="false">'United Games For'!BK13-'United Games Against'!BK13</f>
        <v>11</v>
      </c>
      <c r="BL13" s="35" t="n">
        <f aca="false">'United Games For'!BL13-'United Games Against'!BL13</f>
        <v>-3</v>
      </c>
    </row>
    <row r="14" customFormat="false" ht="15" hidden="false" customHeight="false" outlineLevel="0" collapsed="false">
      <c r="A14" s="12" t="str">
        <f aca="false">'United Games For'!A14</f>
        <v>Seymour</v>
      </c>
      <c r="B14" s="34" t="n">
        <f aca="false">'United Games For'!B14</f>
        <v>10</v>
      </c>
      <c r="C14" s="12" t="str">
        <f aca="false">'United Games For'!C14</f>
        <v>Home &amp; away</v>
      </c>
      <c r="D14" s="12" t="str">
        <f aca="false">'United Games For'!D14</f>
        <v>L</v>
      </c>
      <c r="E14" s="35" t="n">
        <f aca="false">'United Games For'!E14-'United Games Against'!E14</f>
        <v>81</v>
      </c>
      <c r="F14" s="35" t="n">
        <f aca="false">'United Games For'!F14-'United Games Against'!F14</f>
        <v>53</v>
      </c>
      <c r="G14" s="35" t="n">
        <f aca="false">'United Games For'!G14-'United Games Against'!G14</f>
        <v>28</v>
      </c>
      <c r="H14" s="35" t="n">
        <f aca="false">'United Games For'!H14-'United Games Against'!H14</f>
        <v>-8</v>
      </c>
      <c r="I14" s="35" t="n">
        <f aca="false">'United Games For'!I14-'United Games Against'!I14</f>
        <v>4</v>
      </c>
      <c r="J14" s="35" t="n">
        <f aca="false">'United Games For'!J14-'United Games Against'!J14</f>
        <v>4</v>
      </c>
      <c r="K14" s="35" t="n">
        <f aca="false">'United Games For'!K14-'United Games Against'!K14</f>
        <v>0</v>
      </c>
      <c r="L14" s="35" t="n">
        <f aca="false">'United Games For'!L14-'United Games Against'!L14</f>
        <v>18</v>
      </c>
      <c r="M14" s="35" t="n">
        <f aca="false">'United Games For'!M14-'United Games Against'!M14</f>
        <v>17</v>
      </c>
      <c r="N14" s="35" t="n">
        <f aca="false">'United Games For'!N14-'United Games Against'!N14</f>
        <v>-6</v>
      </c>
      <c r="O14" s="35" t="n">
        <f aca="false">'United Games For'!O14-'United Games Against'!O14</f>
        <v>54</v>
      </c>
      <c r="P14" s="35" t="n">
        <f aca="false">'United Games For'!P14-'United Games Against'!P14</f>
        <v>0</v>
      </c>
      <c r="Q14" s="35" t="n">
        <f aca="false">'United Games For'!Q14-'United Games Against'!Q14</f>
        <v>54</v>
      </c>
      <c r="R14" s="35" t="n">
        <f aca="false">'United Games For'!R14-'United Games Against'!R14</f>
        <v>8</v>
      </c>
      <c r="S14" s="35" t="n">
        <f aca="false">'United Games For'!S14-'United Games Against'!S14</f>
        <v>9</v>
      </c>
      <c r="T14" s="35" t="n">
        <f aca="false">'United Games For'!T14-'United Games Against'!T14</f>
        <v>355</v>
      </c>
      <c r="U14" s="35" t="n">
        <f aca="false">'United Games For'!U14-'United Games Against'!U14</f>
        <v>-12</v>
      </c>
      <c r="V14" s="35" t="n">
        <f aca="false">'United Games For'!V14-'United Games Against'!V14</f>
        <v>-1</v>
      </c>
      <c r="W14" s="35" t="n">
        <f aca="false">'United Games For'!W14-'United Games Against'!W14</f>
        <v>-6</v>
      </c>
      <c r="X14" s="35" t="n">
        <f aca="false">'United Games For'!X14-'United Games Against'!X14</f>
        <v>0</v>
      </c>
      <c r="Y14" s="35" t="n">
        <f aca="false">'United Games For'!Y14-'United Games Against'!Y14</f>
        <v>0</v>
      </c>
      <c r="Z14" s="35" t="n">
        <f aca="false">'United Games For'!Z14-'United Games Against'!Z14</f>
        <v>-6</v>
      </c>
      <c r="AA14" s="35" t="n">
        <f aca="false">'United Games For'!AA14-'United Games Against'!AA14</f>
        <v>9</v>
      </c>
      <c r="AB14" s="35" t="n">
        <f aca="false">'United Games For'!AB14-'United Games Against'!AB14</f>
        <v>-12</v>
      </c>
      <c r="AC14" s="35" t="n">
        <f aca="false">'United Games For'!AC14-'United Games Against'!AC14</f>
        <v>-3</v>
      </c>
      <c r="AD14" s="35" t="n">
        <f aca="false">'United Games For'!AD14-'United Games Against'!AD14</f>
        <v>-8</v>
      </c>
      <c r="AE14" s="35" t="n">
        <f aca="false">'United Games For'!AE14-'United Games Against'!AE14</f>
        <v>8</v>
      </c>
      <c r="AF14" s="35" t="n">
        <f aca="false">'United Games For'!AF14-'United Games Against'!AF14</f>
        <v>-15</v>
      </c>
      <c r="AG14" s="35" t="n">
        <f aca="false">'United Games For'!AG14-'United Games Against'!AG14</f>
        <v>-5</v>
      </c>
      <c r="AH14" s="35" t="n">
        <f aca="false">'United Games For'!AH14-'United Games Against'!AH14</f>
        <v>-8</v>
      </c>
      <c r="AI14" s="35" t="n">
        <f aca="false">'United Games For'!AI14-'United Games Against'!AI14</f>
        <v>-2</v>
      </c>
      <c r="AJ14" s="35" t="n">
        <f aca="false">'United Games For'!AJ14-'United Games Against'!AJ14</f>
        <v>3</v>
      </c>
      <c r="AK14" s="35" t="n">
        <f aca="false">'United Games For'!AK14-'United Games Against'!AK14</f>
        <v>-7</v>
      </c>
      <c r="AL14" s="35" t="n">
        <f aca="false">'United Games For'!AL14-'United Games Against'!AL14</f>
        <v>8</v>
      </c>
      <c r="AM14" s="35" t="n">
        <f aca="false">'United Games For'!AM14-'United Games Against'!AM14</f>
        <v>1</v>
      </c>
      <c r="AN14" s="35" t="n">
        <f aca="false">'United Games For'!AN14-'United Games Against'!AN14</f>
        <v>-4</v>
      </c>
      <c r="AO14" s="35" t="n">
        <f aca="false">'United Games For'!AO14-'United Games Against'!AO14</f>
        <v>-3</v>
      </c>
      <c r="AP14" s="35" t="n">
        <f aca="false">'United Games For'!AP14-'United Games Against'!AP14</f>
        <v>1</v>
      </c>
      <c r="AQ14" s="35" t="n">
        <f aca="false">'United Games For'!AQ14-'United Games Against'!AQ14</f>
        <v>2</v>
      </c>
      <c r="AR14" s="35" t="n">
        <f aca="false">'United Games For'!AR14-'United Games Against'!AR14</f>
        <v>7</v>
      </c>
      <c r="AS14" s="35" t="n">
        <f aca="false">'United Games For'!AS14-'United Games Against'!AS14</f>
        <v>6</v>
      </c>
      <c r="AT14" s="35" t="n">
        <f aca="false">'United Games For'!AT14-'United Games Against'!AT14</f>
        <v>-12</v>
      </c>
      <c r="AU14" s="35" t="n">
        <f aca="false">'United Games For'!AU14-'United Games Against'!AU14</f>
        <v>-4</v>
      </c>
      <c r="AV14" s="35" t="n">
        <f aca="false">'United Games For'!AV14-'United Games Against'!AV14</f>
        <v>9</v>
      </c>
      <c r="AW14" s="35" t="n">
        <f aca="false">'United Games For'!AW14-'United Games Against'!AW14</f>
        <v>0</v>
      </c>
      <c r="AX14" s="35" t="n">
        <f aca="false">'United Games For'!AX14-'United Games Against'!AX14</f>
        <v>2</v>
      </c>
      <c r="AY14" s="35" t="n">
        <f aca="false">'United Games For'!AY14-'United Games Against'!AY14</f>
        <v>5</v>
      </c>
      <c r="AZ14" s="35" t="n">
        <f aca="false">'United Games For'!AZ14-'United Games Against'!AZ14</f>
        <v>-33</v>
      </c>
      <c r="BA14" s="35" t="n">
        <f aca="false">'United Games For'!BA14-'United Games Against'!BA14</f>
        <v>4</v>
      </c>
      <c r="BB14" s="35" t="n">
        <f aca="false">'United Games For'!BB14-'United Games Against'!BB14</f>
        <v>24</v>
      </c>
      <c r="BC14" s="35" t="n">
        <f aca="false">'United Games For'!BC14-'United Games Against'!BC14</f>
        <v>14</v>
      </c>
      <c r="BD14" s="35" t="n">
        <f aca="false">'United Games For'!BD14-'United Games Against'!BD14</f>
        <v>-11</v>
      </c>
      <c r="BE14" s="35" t="n">
        <f aca="false">'United Games For'!BE14-'United Games Against'!BE14</f>
        <v>27</v>
      </c>
      <c r="BF14" s="35" t="n">
        <f aca="false">'United Games For'!BF14-'United Games Against'!BF14</f>
        <v>26</v>
      </c>
      <c r="BG14" s="35" t="n">
        <f aca="false">'United Games For'!BG14-'United Games Against'!BG14</f>
        <v>13</v>
      </c>
      <c r="BH14" s="35" t="n">
        <f aca="false">'United Games For'!BH14-'United Games Against'!BH14</f>
        <v>59</v>
      </c>
      <c r="BI14" s="35" t="n">
        <f aca="false">'United Games For'!BI14-'United Games Against'!BI14</f>
        <v>8</v>
      </c>
      <c r="BJ14" s="35" t="n">
        <f aca="false">'United Games For'!BJ14-'United Games Against'!BJ14</f>
        <v>67</v>
      </c>
      <c r="BK14" s="35" t="n">
        <f aca="false">'United Games For'!BK14-'United Games Against'!BK14</f>
        <v>9</v>
      </c>
      <c r="BL14" s="35" t="n">
        <f aca="false">'United Games For'!BL14-'United Games Against'!BL14</f>
        <v>3</v>
      </c>
    </row>
    <row r="15" customFormat="false" ht="15" hidden="false" customHeight="false" outlineLevel="0" collapsed="false">
      <c r="A15" s="12" t="str">
        <f aca="false">'United Games For'!A15</f>
        <v>Rochester</v>
      </c>
      <c r="B15" s="34" t="n">
        <f aca="false">'United Games For'!B15</f>
        <v>11</v>
      </c>
      <c r="C15" s="12" t="str">
        <f aca="false">'United Games For'!C15</f>
        <v>Home &amp; away</v>
      </c>
      <c r="D15" s="12" t="str">
        <f aca="false">'United Games For'!D15</f>
        <v>L</v>
      </c>
      <c r="E15" s="35" t="n">
        <f aca="false">'United Games For'!E15-'United Games Against'!E15</f>
        <v>-20</v>
      </c>
      <c r="F15" s="35" t="n">
        <f aca="false">'United Games For'!F15-'United Games Against'!F15</f>
        <v>8</v>
      </c>
      <c r="G15" s="35" t="n">
        <f aca="false">'United Games For'!G15-'United Games Against'!G15</f>
        <v>-28</v>
      </c>
      <c r="H15" s="35" t="n">
        <f aca="false">'United Games For'!H15-'United Games Against'!H15</f>
        <v>-11</v>
      </c>
      <c r="I15" s="35" t="n">
        <f aca="false">'United Games For'!I15-'United Games Against'!I15</f>
        <v>-16</v>
      </c>
      <c r="J15" s="35" t="n">
        <f aca="false">'United Games For'!J15-'United Games Against'!J15</f>
        <v>-15</v>
      </c>
      <c r="K15" s="35" t="n">
        <f aca="false">'United Games For'!K15-'United Games Against'!K15</f>
        <v>-1</v>
      </c>
      <c r="L15" s="35" t="n">
        <f aca="false">'United Games For'!L15-'United Games Against'!L15</f>
        <v>15</v>
      </c>
      <c r="M15" s="35" t="n">
        <f aca="false">'United Games For'!M15-'United Games Against'!M15</f>
        <v>-12</v>
      </c>
      <c r="N15" s="35" t="n">
        <f aca="false">'United Games For'!N15-'United Games Against'!N15</f>
        <v>-10</v>
      </c>
      <c r="O15" s="35" t="n">
        <f aca="false">'United Games For'!O15-'United Games Against'!O15</f>
        <v>10</v>
      </c>
      <c r="P15" s="35" t="n">
        <f aca="false">'United Games For'!P15-'United Games Against'!P15</f>
        <v>5</v>
      </c>
      <c r="Q15" s="35" t="n">
        <f aca="false">'United Games For'!Q15-'United Games Against'!Q15</f>
        <v>5</v>
      </c>
      <c r="R15" s="35" t="n">
        <f aca="false">'United Games For'!R15-'United Games Against'!R15</f>
        <v>3</v>
      </c>
      <c r="S15" s="35" t="n">
        <f aca="false">'United Games For'!S15-'United Games Against'!S15</f>
        <v>-3</v>
      </c>
      <c r="T15" s="35" t="n">
        <f aca="false">'United Games For'!T15-'United Games Against'!T15</f>
        <v>-178</v>
      </c>
      <c r="U15" s="35" t="n">
        <f aca="false">'United Games For'!U15-'United Games Against'!U15</f>
        <v>20</v>
      </c>
      <c r="V15" s="35" t="n">
        <f aca="false">'United Games For'!V15-'United Games Against'!V15</f>
        <v>3</v>
      </c>
      <c r="W15" s="35" t="n">
        <f aca="false">'United Games For'!W15-'United Games Against'!W15</f>
        <v>-19</v>
      </c>
      <c r="X15" s="35" t="n">
        <f aca="false">'United Games For'!X15-'United Games Against'!X15</f>
        <v>-1</v>
      </c>
      <c r="Y15" s="35" t="n">
        <f aca="false">'United Games For'!Y15-'United Games Against'!Y15</f>
        <v>-9</v>
      </c>
      <c r="Z15" s="35" t="n">
        <f aca="false">'United Games For'!Z15-'United Games Against'!Z15</f>
        <v>-9</v>
      </c>
      <c r="AA15" s="35" t="n">
        <f aca="false">'United Games For'!AA15-'United Games Against'!AA15</f>
        <v>-20</v>
      </c>
      <c r="AB15" s="35" t="n">
        <f aca="false">'United Games For'!AB15-'United Games Against'!AB15</f>
        <v>14</v>
      </c>
      <c r="AC15" s="35" t="n">
        <f aca="false">'United Games For'!AC15-'United Games Against'!AC15</f>
        <v>0</v>
      </c>
      <c r="AD15" s="35" t="n">
        <f aca="false">'United Games For'!AD15-'United Games Against'!AD15</f>
        <v>-2</v>
      </c>
      <c r="AE15" s="35" t="n">
        <f aca="false">'United Games For'!AE15-'United Games Against'!AE15</f>
        <v>-16</v>
      </c>
      <c r="AF15" s="35" t="n">
        <f aca="false">'United Games For'!AF15-'United Games Against'!AF15</f>
        <v>-17</v>
      </c>
      <c r="AG15" s="35" t="n">
        <f aca="false">'United Games For'!AG15-'United Games Against'!AG15</f>
        <v>0</v>
      </c>
      <c r="AH15" s="35" t="n">
        <f aca="false">'United Games For'!AH15-'United Games Against'!AH15</f>
        <v>3</v>
      </c>
      <c r="AI15" s="35" t="n">
        <f aca="false">'United Games For'!AI15-'United Games Against'!AI15</f>
        <v>-20</v>
      </c>
      <c r="AJ15" s="35" t="n">
        <f aca="false">'United Games For'!AJ15-'United Games Against'!AJ15</f>
        <v>-33</v>
      </c>
      <c r="AK15" s="35" t="n">
        <f aca="false">'United Games For'!AK15-'United Games Against'!AK15</f>
        <v>-1</v>
      </c>
      <c r="AL15" s="35" t="n">
        <f aca="false">'United Games For'!AL15-'United Games Against'!AL15</f>
        <v>2</v>
      </c>
      <c r="AM15" s="35" t="n">
        <f aca="false">'United Games For'!AM15-'United Games Against'!AM15</f>
        <v>-6</v>
      </c>
      <c r="AN15" s="35" t="n">
        <f aca="false">'United Games For'!AN15-'United Games Against'!AN15</f>
        <v>-9</v>
      </c>
      <c r="AO15" s="35" t="n">
        <f aca="false">'United Games For'!AO15-'United Games Against'!AO15</f>
        <v>-8</v>
      </c>
      <c r="AP15" s="35" t="n">
        <f aca="false">'United Games For'!AP15-'United Games Against'!AP15</f>
        <v>-28</v>
      </c>
      <c r="AQ15" s="35" t="n">
        <f aca="false">'United Games For'!AQ15-'United Games Against'!AQ15</f>
        <v>-21</v>
      </c>
      <c r="AR15" s="35" t="n">
        <f aca="false">'United Games For'!AR15-'United Games Against'!AR15</f>
        <v>-2</v>
      </c>
      <c r="AS15" s="35" t="n">
        <f aca="false">'United Games For'!AS15-'United Games Against'!AS15</f>
        <v>-25</v>
      </c>
      <c r="AT15" s="35" t="n">
        <f aca="false">'United Games For'!AT15-'United Games Against'!AT15</f>
        <v>-1</v>
      </c>
      <c r="AU15" s="35" t="n">
        <f aca="false">'United Games For'!AU15-'United Games Against'!AU15</f>
        <v>-8</v>
      </c>
      <c r="AV15" s="35" t="n">
        <f aca="false">'United Games For'!AV15-'United Games Against'!AV15</f>
        <v>-1</v>
      </c>
      <c r="AW15" s="35" t="n">
        <f aca="false">'United Games For'!AW15-'United Games Against'!AW15</f>
        <v>2</v>
      </c>
      <c r="AX15" s="35" t="n">
        <f aca="false">'United Games For'!AX15-'United Games Against'!AX15</f>
        <v>3</v>
      </c>
      <c r="AY15" s="35" t="n">
        <f aca="false">'United Games For'!AY15-'United Games Against'!AY15</f>
        <v>-7</v>
      </c>
      <c r="AZ15" s="35" t="n">
        <f aca="false">'United Games For'!AZ15-'United Games Against'!AZ15</f>
        <v>-27</v>
      </c>
      <c r="BA15" s="35" t="n">
        <f aca="false">'United Games For'!BA15-'United Games Against'!BA15</f>
        <v>-7</v>
      </c>
      <c r="BB15" s="35" t="n">
        <f aca="false">'United Games For'!BB15-'United Games Against'!BB15</f>
        <v>-1</v>
      </c>
      <c r="BC15" s="35" t="n">
        <f aca="false">'United Games For'!BC15-'United Games Against'!BC15</f>
        <v>-6</v>
      </c>
      <c r="BD15" s="35" t="n">
        <f aca="false">'United Games For'!BD15-'United Games Against'!BD15</f>
        <v>-7</v>
      </c>
      <c r="BE15" s="35" t="n">
        <f aca="false">'United Games For'!BE15-'United Games Against'!BE15</f>
        <v>-1</v>
      </c>
      <c r="BF15" s="35" t="n">
        <f aca="false">'United Games For'!BF15-'United Games Against'!BF15</f>
        <v>-18</v>
      </c>
      <c r="BG15" s="35" t="n">
        <f aca="false">'United Games For'!BG15-'United Games Against'!BG15</f>
        <v>-40</v>
      </c>
      <c r="BH15" s="35" t="n">
        <f aca="false">'United Games For'!BH15-'United Games Against'!BH15</f>
        <v>-7</v>
      </c>
      <c r="BI15" s="35" t="n">
        <f aca="false">'United Games For'!BI15-'United Games Against'!BI15</f>
        <v>-28</v>
      </c>
      <c r="BJ15" s="35" t="n">
        <f aca="false">'United Games For'!BJ15-'United Games Against'!BJ15</f>
        <v>-35</v>
      </c>
      <c r="BK15" s="35" t="n">
        <f aca="false">'United Games For'!BK15-'United Games Against'!BK15</f>
        <v>-9</v>
      </c>
      <c r="BL15" s="35" t="n">
        <f aca="false">'United Games For'!BL15-'United Games Against'!BL15</f>
        <v>2</v>
      </c>
    </row>
    <row r="16" customFormat="false" ht="15" hidden="false" customHeight="false" outlineLevel="0" collapsed="false">
      <c r="A16" s="12" t="str">
        <f aca="false">'United Games For'!A16</f>
        <v>Euroa</v>
      </c>
      <c r="B16" s="34" t="n">
        <f aca="false">'United Games For'!B16</f>
        <v>12</v>
      </c>
      <c r="C16" s="12" t="str">
        <f aca="false">'United Games For'!C16</f>
        <v>Home &amp; away</v>
      </c>
      <c r="D16" s="12" t="str">
        <f aca="false">'United Games For'!D16</f>
        <v>W</v>
      </c>
      <c r="E16" s="35" t="n">
        <f aca="false">'United Games For'!E16-'United Games Against'!E16</f>
        <v>54</v>
      </c>
      <c r="F16" s="35" t="n">
        <f aca="false">'United Games For'!F16-'United Games Against'!F16</f>
        <v>51</v>
      </c>
      <c r="G16" s="35" t="n">
        <f aca="false">'United Games For'!G16-'United Games Against'!G16</f>
        <v>3</v>
      </c>
      <c r="H16" s="35" t="n">
        <f aca="false">'United Games For'!H16-'United Games Against'!H16</f>
        <v>-13</v>
      </c>
      <c r="I16" s="35" t="n">
        <f aca="false">'United Games For'!I16-'United Games Against'!I16</f>
        <v>-20</v>
      </c>
      <c r="J16" s="35" t="n">
        <f aca="false">'United Games For'!J16-'United Games Against'!J16</f>
        <v>-11</v>
      </c>
      <c r="K16" s="35" t="n">
        <f aca="false">'United Games For'!K16-'United Games Against'!K16</f>
        <v>-9</v>
      </c>
      <c r="L16" s="35" t="n">
        <f aca="false">'United Games For'!L16-'United Games Against'!L16</f>
        <v>1</v>
      </c>
      <c r="M16" s="35" t="n">
        <f aca="false">'United Games For'!M16-'United Games Against'!M16</f>
        <v>25</v>
      </c>
      <c r="N16" s="35" t="n">
        <f aca="false">'United Games For'!N16-'United Games Against'!N16</f>
        <v>9</v>
      </c>
      <c r="O16" s="35" t="n">
        <f aca="false">'United Games For'!O16-'United Games Against'!O16</f>
        <v>40</v>
      </c>
      <c r="P16" s="35" t="n">
        <f aca="false">'United Games For'!P16-'United Games Against'!P16</f>
        <v>8</v>
      </c>
      <c r="Q16" s="35" t="n">
        <f aca="false">'United Games For'!Q16-'United Games Against'!Q16</f>
        <v>32</v>
      </c>
      <c r="R16" s="35" t="n">
        <f aca="false">'United Games For'!R16-'United Games Against'!R16</f>
        <v>9</v>
      </c>
      <c r="S16" s="35" t="n">
        <f aca="false">'United Games For'!S16-'United Games Against'!S16</f>
        <v>7</v>
      </c>
      <c r="T16" s="35" t="n">
        <f aca="false">'United Games For'!T16-'United Games Against'!T16</f>
        <v>233</v>
      </c>
      <c r="U16" s="35" t="n">
        <f aca="false">'United Games For'!U16-'United Games Against'!U16</f>
        <v>46</v>
      </c>
      <c r="V16" s="35" t="n">
        <f aca="false">'United Games For'!V16-'United Games Against'!V16</f>
        <v>10</v>
      </c>
      <c r="W16" s="35" t="n">
        <f aca="false">'United Games For'!W16-'United Games Against'!W16</f>
        <v>7</v>
      </c>
      <c r="X16" s="35" t="n">
        <f aca="false">'United Games For'!X16-'United Games Against'!X16</f>
        <v>3</v>
      </c>
      <c r="Y16" s="35" t="n">
        <f aca="false">'United Games For'!Y16-'United Games Against'!Y16</f>
        <v>7</v>
      </c>
      <c r="Z16" s="35" t="n">
        <f aca="false">'United Games For'!Z16-'United Games Against'!Z16</f>
        <v>-3</v>
      </c>
      <c r="AA16" s="35" t="n">
        <f aca="false">'United Games For'!AA16-'United Games Against'!AA16</f>
        <v>8</v>
      </c>
      <c r="AB16" s="35" t="n">
        <f aca="false">'United Games For'!AB16-'United Games Against'!AB16</f>
        <v>-3</v>
      </c>
      <c r="AC16" s="35" t="n">
        <f aca="false">'United Games For'!AC16-'United Games Against'!AC16</f>
        <v>-5</v>
      </c>
      <c r="AD16" s="35" t="n">
        <f aca="false">'United Games For'!AD16-'United Games Against'!AD16</f>
        <v>5</v>
      </c>
      <c r="AE16" s="35" t="n">
        <f aca="false">'United Games For'!AE16-'United Games Against'!AE16</f>
        <v>-14</v>
      </c>
      <c r="AF16" s="35" t="n">
        <f aca="false">'United Games For'!AF16-'United Games Against'!AF16</f>
        <v>1</v>
      </c>
      <c r="AG16" s="35" t="n">
        <f aca="false">'United Games For'!AG16-'United Games Against'!AG16</f>
        <v>2</v>
      </c>
      <c r="AH16" s="35" t="n">
        <f aca="false">'United Games For'!AH16-'United Games Against'!AH16</f>
        <v>-2</v>
      </c>
      <c r="AI16" s="35" t="n">
        <f aca="false">'United Games For'!AI16-'United Games Against'!AI16</f>
        <v>1</v>
      </c>
      <c r="AJ16" s="35" t="n">
        <f aca="false">'United Games For'!AJ16-'United Games Against'!AJ16</f>
        <v>-35</v>
      </c>
      <c r="AK16" s="35" t="n">
        <f aca="false">'United Games For'!AK16-'United Games Against'!AK16</f>
        <v>-21</v>
      </c>
      <c r="AL16" s="35" t="n">
        <f aca="false">'United Games For'!AL16-'United Games Against'!AL16</f>
        <v>3</v>
      </c>
      <c r="AM16" s="35" t="n">
        <f aca="false">'United Games For'!AM16-'United Games Against'!AM16</f>
        <v>-7</v>
      </c>
      <c r="AN16" s="35" t="n">
        <f aca="false">'United Games For'!AN16-'United Games Against'!AN16</f>
        <v>-16</v>
      </c>
      <c r="AO16" s="35" t="n">
        <f aca="false">'United Games For'!AO16-'United Games Against'!AO16</f>
        <v>4</v>
      </c>
      <c r="AP16" s="35" t="n">
        <f aca="false">'United Games For'!AP16-'United Games Against'!AP16</f>
        <v>-10</v>
      </c>
      <c r="AQ16" s="35" t="n">
        <f aca="false">'United Games For'!AQ16-'United Games Against'!AQ16</f>
        <v>-9</v>
      </c>
      <c r="AR16" s="35" t="n">
        <f aca="false">'United Games For'!AR16-'United Games Against'!AR16</f>
        <v>-1</v>
      </c>
      <c r="AS16" s="35" t="n">
        <f aca="false">'United Games For'!AS16-'United Games Against'!AS16</f>
        <v>3</v>
      </c>
      <c r="AT16" s="35" t="n">
        <f aca="false">'United Games For'!AT16-'United Games Against'!AT16</f>
        <v>-12</v>
      </c>
      <c r="AU16" s="35" t="n">
        <f aca="false">'United Games For'!AU16-'United Games Against'!AU16</f>
        <v>7</v>
      </c>
      <c r="AV16" s="35" t="n">
        <f aca="false">'United Games For'!AV16-'United Games Against'!AV16</f>
        <v>-6</v>
      </c>
      <c r="AW16" s="35" t="n">
        <f aca="false">'United Games For'!AW16-'United Games Against'!AW16</f>
        <v>0</v>
      </c>
      <c r="AX16" s="35" t="n">
        <f aca="false">'United Games For'!AX16-'United Games Against'!AX16</f>
        <v>-8</v>
      </c>
      <c r="AY16" s="35" t="n">
        <f aca="false">'United Games For'!AY16-'United Games Against'!AY16</f>
        <v>1</v>
      </c>
      <c r="AZ16" s="35" t="n">
        <f aca="false">'United Games For'!AZ16-'United Games Against'!AZ16</f>
        <v>29</v>
      </c>
      <c r="BA16" s="35" t="n">
        <f aca="false">'United Games For'!BA16-'United Games Against'!BA16</f>
        <v>1</v>
      </c>
      <c r="BB16" s="35" t="n">
        <f aca="false">'United Games For'!BB16-'United Games Against'!BB16</f>
        <v>-2</v>
      </c>
      <c r="BC16" s="35" t="n">
        <f aca="false">'United Games For'!BC16-'United Games Against'!BC16</f>
        <v>1</v>
      </c>
      <c r="BD16" s="35" t="n">
        <f aca="false">'United Games For'!BD16-'United Games Against'!BD16</f>
        <v>3</v>
      </c>
      <c r="BE16" s="35" t="n">
        <f aca="false">'United Games For'!BE16-'United Games Against'!BE16</f>
        <v>-15</v>
      </c>
      <c r="BF16" s="35" t="n">
        <f aca="false">'United Games For'!BF16-'United Games Against'!BF16</f>
        <v>6</v>
      </c>
      <c r="BG16" s="35" t="n">
        <f aca="false">'United Games For'!BG16-'United Games Against'!BG16</f>
        <v>-17</v>
      </c>
      <c r="BH16" s="35" t="n">
        <f aca="false">'United Games For'!BH16-'United Games Against'!BH16</f>
        <v>35</v>
      </c>
      <c r="BI16" s="35" t="n">
        <f aca="false">'United Games For'!BI16-'United Games Against'!BI16</f>
        <v>6</v>
      </c>
      <c r="BJ16" s="35" t="n">
        <f aca="false">'United Games For'!BJ16-'United Games Against'!BJ16</f>
        <v>41</v>
      </c>
      <c r="BK16" s="35" t="n">
        <f aca="false">'United Games For'!BK16-'United Games Against'!BK16</f>
        <v>-1</v>
      </c>
      <c r="BL16" s="35" t="n">
        <f aca="false">'United Games For'!BL16-'United Games Against'!BL16</f>
        <v>0</v>
      </c>
    </row>
    <row r="17" customFormat="false" ht="15" hidden="false" customHeight="false" outlineLevel="0" collapsed="false">
      <c r="A17" s="12" t="str">
        <f aca="false">'United Games For'!A17</f>
        <v>Shepparton Bears</v>
      </c>
      <c r="B17" s="34" t="n">
        <f aca="false">'United Games For'!B17</f>
        <v>13</v>
      </c>
      <c r="C17" s="12" t="str">
        <f aca="false">'United Games For'!C17</f>
        <v>Home &amp; away</v>
      </c>
      <c r="D17" s="12" t="str">
        <f aca="false">'United Games For'!D17</f>
        <v>L</v>
      </c>
      <c r="E17" s="35" t="n">
        <f aca="false">'United Games For'!E17-'United Games Against'!E17</f>
        <v>-20</v>
      </c>
      <c r="F17" s="35" t="n">
        <f aca="false">'United Games For'!F17-'United Games Against'!F17</f>
        <v>-18</v>
      </c>
      <c r="G17" s="35" t="n">
        <f aca="false">'United Games For'!G17-'United Games Against'!G17</f>
        <v>-2</v>
      </c>
      <c r="H17" s="35" t="n">
        <f aca="false">'United Games For'!H17-'United Games Against'!H17</f>
        <v>-4</v>
      </c>
      <c r="I17" s="35" t="n">
        <f aca="false">'United Games For'!I17-'United Games Against'!I17</f>
        <v>6</v>
      </c>
      <c r="J17" s="35" t="n">
        <f aca="false">'United Games For'!J17-'United Games Against'!J17</f>
        <v>7</v>
      </c>
      <c r="K17" s="35" t="n">
        <f aca="false">'United Games For'!K17-'United Games Against'!K17</f>
        <v>-1</v>
      </c>
      <c r="L17" s="35" t="n">
        <f aca="false">'United Games For'!L17-'United Games Against'!L17</f>
        <v>-7</v>
      </c>
      <c r="M17" s="35" t="n">
        <f aca="false">'United Games For'!M17-'United Games Against'!M17</f>
        <v>8</v>
      </c>
      <c r="N17" s="35" t="n">
        <f aca="false">'United Games For'!N17-'United Games Against'!N17</f>
        <v>-2</v>
      </c>
      <c r="O17" s="35" t="n">
        <f aca="false">'United Games For'!O17-'United Games Against'!O17</f>
        <v>-25</v>
      </c>
      <c r="P17" s="35" t="n">
        <f aca="false">'United Games For'!P17-'United Games Against'!P17</f>
        <v>-3</v>
      </c>
      <c r="Q17" s="35" t="n">
        <f aca="false">'United Games For'!Q17-'United Games Against'!Q17</f>
        <v>-22</v>
      </c>
      <c r="R17" s="35" t="n">
        <f aca="false">'United Games For'!R17-'United Games Against'!R17</f>
        <v>0</v>
      </c>
      <c r="S17" s="35" t="n">
        <f aca="false">'United Games For'!S17-'United Games Against'!S17</f>
        <v>-12</v>
      </c>
      <c r="T17" s="35" t="n">
        <f aca="false">'United Games For'!T17-'United Games Against'!T17</f>
        <v>-192</v>
      </c>
      <c r="U17" s="35" t="n">
        <f aca="false">'United Games For'!U17-'United Games Against'!U17</f>
        <v>10</v>
      </c>
      <c r="V17" s="35" t="n">
        <f aca="false">'United Games For'!V17-'United Games Against'!V17</f>
        <v>5</v>
      </c>
      <c r="W17" s="35" t="n">
        <f aca="false">'United Games For'!W17-'United Games Against'!W17</f>
        <v>8</v>
      </c>
      <c r="X17" s="35" t="n">
        <f aca="false">'United Games For'!X17-'United Games Against'!X17</f>
        <v>0</v>
      </c>
      <c r="Y17" s="35" t="n">
        <f aca="false">'United Games For'!Y17-'United Games Against'!Y17</f>
        <v>5</v>
      </c>
      <c r="Z17" s="35" t="n">
        <f aca="false">'United Games For'!Z17-'United Games Against'!Z17</f>
        <v>3</v>
      </c>
      <c r="AA17" s="35" t="n">
        <f aca="false">'United Games For'!AA17-'United Games Against'!AA17</f>
        <v>-10</v>
      </c>
      <c r="AB17" s="35" t="n">
        <f aca="false">'United Games For'!AB17-'United Games Against'!AB17</f>
        <v>3</v>
      </c>
      <c r="AC17" s="35" t="n">
        <f aca="false">'United Games For'!AC17-'United Games Against'!AC17</f>
        <v>0</v>
      </c>
      <c r="AD17" s="35" t="n">
        <f aca="false">'United Games For'!AD17-'United Games Against'!AD17</f>
        <v>3</v>
      </c>
      <c r="AE17" s="35" t="n">
        <f aca="false">'United Games For'!AE17-'United Games Against'!AE17</f>
        <v>9</v>
      </c>
      <c r="AF17" s="35" t="n">
        <f aca="false">'United Games For'!AF17-'United Games Against'!AF17</f>
        <v>3</v>
      </c>
      <c r="AG17" s="35" t="n">
        <f aca="false">'United Games For'!AG17-'United Games Against'!AG17</f>
        <v>6</v>
      </c>
      <c r="AH17" s="35" t="n">
        <f aca="false">'United Games For'!AH17-'United Games Against'!AH17</f>
        <v>-2</v>
      </c>
      <c r="AI17" s="35" t="n">
        <f aca="false">'United Games For'!AI17-'United Games Against'!AI17</f>
        <v>-1</v>
      </c>
      <c r="AJ17" s="35" t="n">
        <f aca="false">'United Games For'!AJ17-'United Games Against'!AJ17</f>
        <v>-5</v>
      </c>
      <c r="AK17" s="35" t="n">
        <f aca="false">'United Games For'!AK17-'United Games Against'!AK17</f>
        <v>-2</v>
      </c>
      <c r="AL17" s="35" t="n">
        <f aca="false">'United Games For'!AL17-'United Games Against'!AL17</f>
        <v>2</v>
      </c>
      <c r="AM17" s="35" t="n">
        <f aca="false">'United Games For'!AM17-'United Games Against'!AM17</f>
        <v>2</v>
      </c>
      <c r="AN17" s="35" t="n">
        <f aca="false">'United Games For'!AN17-'United Games Against'!AN17</f>
        <v>6</v>
      </c>
      <c r="AO17" s="35" t="n">
        <f aca="false">'United Games For'!AO17-'United Games Against'!AO17</f>
        <v>2</v>
      </c>
      <c r="AP17" s="35" t="n">
        <f aca="false">'United Games For'!AP17-'United Games Against'!AP17</f>
        <v>-7</v>
      </c>
      <c r="AQ17" s="35" t="n">
        <f aca="false">'United Games For'!AQ17-'United Games Against'!AQ17</f>
        <v>-13</v>
      </c>
      <c r="AR17" s="35" t="n">
        <f aca="false">'United Games For'!AR17-'United Games Against'!AR17</f>
        <v>-12</v>
      </c>
      <c r="AS17" s="35" t="n">
        <f aca="false">'United Games For'!AS17-'United Games Against'!AS17</f>
        <v>-2</v>
      </c>
      <c r="AT17" s="35" t="n">
        <f aca="false">'United Games For'!AT17-'United Games Against'!AT17</f>
        <v>7</v>
      </c>
      <c r="AU17" s="35" t="n">
        <f aca="false">'United Games For'!AU17-'United Games Against'!AU17</f>
        <v>-5</v>
      </c>
      <c r="AV17" s="35" t="n">
        <f aca="false">'United Games For'!AV17-'United Games Against'!AV17</f>
        <v>-3</v>
      </c>
      <c r="AW17" s="35" t="n">
        <f aca="false">'United Games For'!AW17-'United Games Against'!AW17</f>
        <v>1</v>
      </c>
      <c r="AX17" s="35" t="n">
        <f aca="false">'United Games For'!AX17-'United Games Against'!AX17</f>
        <v>-8</v>
      </c>
      <c r="AY17" s="35" t="n">
        <f aca="false">'United Games For'!AY17-'United Games Against'!AY17</f>
        <v>-7</v>
      </c>
      <c r="AZ17" s="35" t="n">
        <f aca="false">'United Games For'!AZ17-'United Games Against'!AZ17</f>
        <v>-14</v>
      </c>
      <c r="BA17" s="35" t="n">
        <f aca="false">'United Games For'!BA17-'United Games Against'!BA17</f>
        <v>-6</v>
      </c>
      <c r="BB17" s="35" t="n">
        <f aca="false">'United Games For'!BB17-'United Games Against'!BB17</f>
        <v>-17</v>
      </c>
      <c r="BC17" s="35" t="n">
        <f aca="false">'United Games For'!BC17-'United Games Against'!BC17</f>
        <v>-10</v>
      </c>
      <c r="BD17" s="35" t="n">
        <f aca="false">'United Games For'!BD17-'United Games Against'!BD17</f>
        <v>-2</v>
      </c>
      <c r="BE17" s="35" t="n">
        <f aca="false">'United Games For'!BE17-'United Games Against'!BE17</f>
        <v>11</v>
      </c>
      <c r="BF17" s="35" t="n">
        <f aca="false">'United Games For'!BF17-'United Games Against'!BF17</f>
        <v>-13</v>
      </c>
      <c r="BG17" s="35" t="n">
        <f aca="false">'United Games For'!BG17-'United Games Against'!BG17</f>
        <v>-16</v>
      </c>
      <c r="BH17" s="35" t="n">
        <f aca="false">'United Games For'!BH17-'United Games Against'!BH17</f>
        <v>-29</v>
      </c>
      <c r="BI17" s="35" t="n">
        <f aca="false">'United Games For'!BI17-'United Games Against'!BI17</f>
        <v>-5</v>
      </c>
      <c r="BJ17" s="35" t="n">
        <f aca="false">'United Games For'!BJ17-'United Games Against'!BJ17</f>
        <v>-34</v>
      </c>
      <c r="BK17" s="35" t="n">
        <f aca="false">'United Games For'!BK17-'United Games Against'!BK17</f>
        <v>9</v>
      </c>
      <c r="BL17" s="35" t="n">
        <f aca="false">'United Games For'!BL17-'United Games Against'!BL17</f>
        <v>-3</v>
      </c>
    </row>
    <row r="18" customFormat="false" ht="15" hidden="false" customHeight="false" outlineLevel="0" collapsed="false">
      <c r="A18" s="12" t="str">
        <f aca="false">'United Games For'!A18</f>
        <v>Shepparton Swans</v>
      </c>
      <c r="B18" s="34" t="n">
        <f aca="false">'United Games For'!B18</f>
        <v>14</v>
      </c>
      <c r="C18" s="12" t="str">
        <f aca="false">'United Games For'!C18</f>
        <v>Home &amp; away</v>
      </c>
      <c r="D18" s="12" t="str">
        <f aca="false">'United Games For'!D18</f>
        <v>W</v>
      </c>
      <c r="E18" s="35" t="n">
        <f aca="false">'United Games For'!E18-'United Games Against'!E18</f>
        <v>16</v>
      </c>
      <c r="F18" s="35" t="n">
        <f aca="false">'United Games For'!F18-'United Games Against'!F18</f>
        <v>6</v>
      </c>
      <c r="G18" s="35" t="n">
        <f aca="false">'United Games For'!G18-'United Games Against'!G18</f>
        <v>10</v>
      </c>
      <c r="H18" s="35" t="n">
        <f aca="false">'United Games For'!H18-'United Games Against'!H18</f>
        <v>22</v>
      </c>
      <c r="I18" s="35" t="n">
        <f aca="false">'United Games For'!I18-'United Games Against'!I18</f>
        <v>2</v>
      </c>
      <c r="J18" s="35" t="n">
        <f aca="false">'United Games For'!J18-'United Games Against'!J18</f>
        <v>7</v>
      </c>
      <c r="K18" s="35" t="n">
        <f aca="false">'United Games For'!K18-'United Games Against'!K18</f>
        <v>-5</v>
      </c>
      <c r="L18" s="35" t="n">
        <f aca="false">'United Games For'!L18-'United Games Against'!L18</f>
        <v>6</v>
      </c>
      <c r="M18" s="35" t="n">
        <f aca="false">'United Games For'!M18-'United Games Against'!M18</f>
        <v>22</v>
      </c>
      <c r="N18" s="35" t="n">
        <f aca="false">'United Games For'!N18-'United Games Against'!N18</f>
        <v>-7</v>
      </c>
      <c r="O18" s="35" t="n">
        <f aca="false">'United Games For'!O18-'United Games Against'!O18</f>
        <v>-14</v>
      </c>
      <c r="P18" s="35" t="n">
        <f aca="false">'United Games For'!P18-'United Games Against'!P18</f>
        <v>0</v>
      </c>
      <c r="Q18" s="35" t="n">
        <f aca="false">'United Games For'!Q18-'United Games Against'!Q18</f>
        <v>-14</v>
      </c>
      <c r="R18" s="35" t="n">
        <f aca="false">'United Games For'!R18-'United Games Against'!R18</f>
        <v>-3</v>
      </c>
      <c r="S18" s="35" t="n">
        <f aca="false">'United Games For'!S18-'United Games Against'!S18</f>
        <v>-2</v>
      </c>
      <c r="T18" s="35" t="n">
        <f aca="false">'United Games For'!T18-'United Games Against'!T18</f>
        <v>154</v>
      </c>
      <c r="U18" s="35" t="n">
        <f aca="false">'United Games For'!U18-'United Games Against'!U18</f>
        <v>34</v>
      </c>
      <c r="V18" s="35" t="n">
        <f aca="false">'United Games For'!V18-'United Games Against'!V18</f>
        <v>9</v>
      </c>
      <c r="W18" s="35" t="n">
        <f aca="false">'United Games For'!W18-'United Games Against'!W18</f>
        <v>2</v>
      </c>
      <c r="X18" s="35" t="n">
        <f aca="false">'United Games For'!X18-'United Games Against'!X18</f>
        <v>3</v>
      </c>
      <c r="Y18" s="35" t="n">
        <f aca="false">'United Games For'!Y18-'United Games Against'!Y18</f>
        <v>-3</v>
      </c>
      <c r="Z18" s="35" t="n">
        <f aca="false">'United Games For'!Z18-'United Games Against'!Z18</f>
        <v>2</v>
      </c>
      <c r="AA18" s="35" t="n">
        <f aca="false">'United Games For'!AA18-'United Games Against'!AA18</f>
        <v>27</v>
      </c>
      <c r="AB18" s="35" t="n">
        <f aca="false">'United Games For'!AB18-'United Games Against'!AB18</f>
        <v>-19</v>
      </c>
      <c r="AC18" s="35" t="n">
        <f aca="false">'United Games For'!AC18-'United Games Against'!AC18</f>
        <v>3</v>
      </c>
      <c r="AD18" s="35" t="n">
        <f aca="false">'United Games For'!AD18-'United Games Against'!AD18</f>
        <v>-2</v>
      </c>
      <c r="AE18" s="35" t="n">
        <f aca="false">'United Games For'!AE18-'United Games Against'!AE18</f>
        <v>-16</v>
      </c>
      <c r="AF18" s="35" t="n">
        <f aca="false">'United Games For'!AF18-'United Games Against'!AF18</f>
        <v>-5</v>
      </c>
      <c r="AG18" s="35" t="n">
        <f aca="false">'United Games For'!AG18-'United Games Against'!AG18</f>
        <v>3</v>
      </c>
      <c r="AH18" s="35" t="n">
        <f aca="false">'United Games For'!AH18-'United Games Against'!AH18</f>
        <v>-14</v>
      </c>
      <c r="AI18" s="35" t="n">
        <f aca="false">'United Games For'!AI18-'United Games Against'!AI18</f>
        <v>6</v>
      </c>
      <c r="AJ18" s="35" t="n">
        <f aca="false">'United Games For'!AJ18-'United Games Against'!AJ18</f>
        <v>-49</v>
      </c>
      <c r="AK18" s="35" t="n">
        <f aca="false">'United Games For'!AK18-'United Games Against'!AK18</f>
        <v>-30</v>
      </c>
      <c r="AL18" s="35" t="n">
        <f aca="false">'United Games For'!AL18-'United Games Against'!AL18</f>
        <v>-7</v>
      </c>
      <c r="AM18" s="35" t="n">
        <f aca="false">'United Games For'!AM18-'United Games Against'!AM18</f>
        <v>2</v>
      </c>
      <c r="AN18" s="35" t="n">
        <f aca="false">'United Games For'!AN18-'United Games Against'!AN18</f>
        <v>1</v>
      </c>
      <c r="AO18" s="35" t="n">
        <f aca="false">'United Games For'!AO18-'United Games Against'!AO18</f>
        <v>-4</v>
      </c>
      <c r="AP18" s="35" t="n">
        <f aca="false">'United Games For'!AP18-'United Games Against'!AP18</f>
        <v>-14</v>
      </c>
      <c r="AQ18" s="35" t="n">
        <f aca="false">'United Games For'!AQ18-'United Games Against'!AQ18</f>
        <v>-7</v>
      </c>
      <c r="AR18" s="35" t="n">
        <f aca="false">'United Games For'!AR18-'United Games Against'!AR18</f>
        <v>3</v>
      </c>
      <c r="AS18" s="35" t="n">
        <f aca="false">'United Games For'!AS18-'United Games Against'!AS18</f>
        <v>-7</v>
      </c>
      <c r="AT18" s="35" t="n">
        <f aca="false">'United Games For'!AT18-'United Games Against'!AT18</f>
        <v>-10</v>
      </c>
      <c r="AU18" s="35" t="n">
        <f aca="false">'United Games For'!AU18-'United Games Against'!AU18</f>
        <v>10</v>
      </c>
      <c r="AV18" s="35" t="n">
        <f aca="false">'United Games For'!AV18-'United Games Against'!AV18</f>
        <v>-1</v>
      </c>
      <c r="AW18" s="35" t="n">
        <f aca="false">'United Games For'!AW18-'United Games Against'!AW18</f>
        <v>3</v>
      </c>
      <c r="AX18" s="35" t="n">
        <f aca="false">'United Games For'!AX18-'United Games Against'!AX18</f>
        <v>-3</v>
      </c>
      <c r="AY18" s="35" t="n">
        <f aca="false">'United Games For'!AY18-'United Games Against'!AY18</f>
        <v>12</v>
      </c>
      <c r="AZ18" s="35" t="n">
        <f aca="false">'United Games For'!AZ18-'United Games Against'!AZ18</f>
        <v>14</v>
      </c>
      <c r="BA18" s="35" t="n">
        <f aca="false">'United Games For'!BA18-'United Games Against'!BA18</f>
        <v>3</v>
      </c>
      <c r="BB18" s="35" t="n">
        <f aca="false">'United Games For'!BB18-'United Games Against'!BB18</f>
        <v>12</v>
      </c>
      <c r="BC18" s="35" t="n">
        <f aca="false">'United Games For'!BC18-'United Games Against'!BC18</f>
        <v>3</v>
      </c>
      <c r="BD18" s="35" t="n">
        <f aca="false">'United Games For'!BD18-'United Games Against'!BD18</f>
        <v>4</v>
      </c>
      <c r="BE18" s="35" t="n">
        <f aca="false">'United Games For'!BE18-'United Games Against'!BE18</f>
        <v>-7</v>
      </c>
      <c r="BF18" s="35" t="n">
        <f aca="false">'United Games For'!BF18-'United Games Against'!BF18</f>
        <v>1</v>
      </c>
      <c r="BG18" s="35" t="n">
        <f aca="false">'United Games For'!BG18-'United Games Against'!BG18</f>
        <v>-13</v>
      </c>
      <c r="BH18" s="35" t="n">
        <f aca="false">'United Games For'!BH18-'United Games Against'!BH18</f>
        <v>10</v>
      </c>
      <c r="BI18" s="35" t="n">
        <f aca="false">'United Games For'!BI18-'United Games Against'!BI18</f>
        <v>12</v>
      </c>
      <c r="BJ18" s="35" t="n">
        <f aca="false">'United Games For'!BJ18-'United Games Against'!BJ18</f>
        <v>22</v>
      </c>
      <c r="BK18" s="35" t="n">
        <f aca="false">'United Games For'!BK18-'United Games Against'!BK18</f>
        <v>-2</v>
      </c>
      <c r="BL18" s="35" t="n">
        <f aca="false">'United Games For'!BL18-'United Games Against'!BL18</f>
        <v>-11</v>
      </c>
    </row>
    <row r="19" customFormat="false" ht="15" hidden="false" customHeight="false" outlineLevel="0" collapsed="false">
      <c r="A19" s="12" t="str">
        <f aca="false">'United Games For'!A19</f>
        <v>Mooroopna</v>
      </c>
      <c r="B19" s="34" t="n">
        <f aca="false">'United Games For'!B19</f>
        <v>15</v>
      </c>
      <c r="C19" s="12" t="str">
        <f aca="false">'United Games For'!C19</f>
        <v>Home &amp; away</v>
      </c>
      <c r="D19" s="12" t="str">
        <f aca="false">'United Games For'!D19</f>
        <v>L</v>
      </c>
      <c r="E19" s="35" t="n">
        <f aca="false">'United Games For'!E19-'United Games Against'!E19</f>
        <v>49</v>
      </c>
      <c r="F19" s="35" t="n">
        <f aca="false">'United Games For'!F19-'United Games Against'!F19</f>
        <v>19</v>
      </c>
      <c r="G19" s="35" t="n">
        <f aca="false">'United Games For'!G19-'United Games Against'!G19</f>
        <v>30</v>
      </c>
      <c r="H19" s="35" t="n">
        <f aca="false">'United Games For'!H19-'United Games Against'!H19</f>
        <v>20</v>
      </c>
      <c r="I19" s="35" t="n">
        <f aca="false">'United Games For'!I19-'United Games Against'!I19</f>
        <v>18</v>
      </c>
      <c r="J19" s="35" t="n">
        <f aca="false">'United Games For'!J19-'United Games Against'!J19</f>
        <v>12</v>
      </c>
      <c r="K19" s="35" t="n">
        <f aca="false">'United Games For'!K19-'United Games Against'!K19</f>
        <v>6</v>
      </c>
      <c r="L19" s="35" t="n">
        <f aca="false">'United Games For'!L19-'United Games Against'!L19</f>
        <v>-4</v>
      </c>
      <c r="M19" s="35" t="n">
        <f aca="false">'United Games For'!M19-'United Games Against'!M19</f>
        <v>5</v>
      </c>
      <c r="N19" s="35" t="n">
        <f aca="false">'United Games For'!N19-'United Games Against'!N19</f>
        <v>2</v>
      </c>
      <c r="O19" s="35" t="n">
        <f aca="false">'United Games For'!O19-'United Games Against'!O19</f>
        <v>30</v>
      </c>
      <c r="P19" s="35" t="n">
        <f aca="false">'United Games For'!P19-'United Games Against'!P19</f>
        <v>12</v>
      </c>
      <c r="Q19" s="35" t="n">
        <f aca="false">'United Games For'!Q19-'United Games Against'!Q19</f>
        <v>18</v>
      </c>
      <c r="R19" s="35" t="n">
        <f aca="false">'United Games For'!R19-'United Games Against'!R19</f>
        <v>12</v>
      </c>
      <c r="S19" s="35" t="n">
        <f aca="false">'United Games For'!S19-'United Games Against'!S19</f>
        <v>2</v>
      </c>
      <c r="T19" s="35" t="n">
        <f aca="false">'United Games For'!T19-'United Games Against'!T19</f>
        <v>139</v>
      </c>
      <c r="U19" s="35" t="n">
        <f aca="false">'United Games For'!U19-'United Games Against'!U19</f>
        <v>-6</v>
      </c>
      <c r="V19" s="35" t="n">
        <f aca="false">'United Games For'!V19-'United Games Against'!V19</f>
        <v>0</v>
      </c>
      <c r="W19" s="35" t="n">
        <f aca="false">'United Games For'!W19-'United Games Against'!W19</f>
        <v>7</v>
      </c>
      <c r="X19" s="35" t="n">
        <f aca="false">'United Games For'!X19-'United Games Against'!X19</f>
        <v>4</v>
      </c>
      <c r="Y19" s="35" t="n">
        <f aca="false">'United Games For'!Y19-'United Games Against'!Y19</f>
        <v>-5</v>
      </c>
      <c r="Z19" s="35" t="n">
        <f aca="false">'United Games For'!Z19-'United Games Against'!Z19</f>
        <v>8</v>
      </c>
      <c r="AA19" s="35" t="n">
        <f aca="false">'United Games For'!AA19-'United Games Against'!AA19</f>
        <v>9</v>
      </c>
      <c r="AB19" s="35" t="n">
        <f aca="false">'United Games For'!AB19-'United Games Against'!AB19</f>
        <v>-15</v>
      </c>
      <c r="AC19" s="35" t="n">
        <f aca="false">'United Games For'!AC19-'United Games Against'!AC19</f>
        <v>-14</v>
      </c>
      <c r="AD19" s="35" t="n">
        <f aca="false">'United Games For'!AD19-'United Games Against'!AD19</f>
        <v>3</v>
      </c>
      <c r="AE19" s="35" t="n">
        <f aca="false">'United Games For'!AE19-'United Games Against'!AE19</f>
        <v>-5</v>
      </c>
      <c r="AF19" s="35" t="n">
        <f aca="false">'United Games For'!AF19-'United Games Against'!AF19</f>
        <v>8</v>
      </c>
      <c r="AG19" s="35" t="n">
        <f aca="false">'United Games For'!AG19-'United Games Against'!AG19</f>
        <v>2</v>
      </c>
      <c r="AH19" s="35" t="n">
        <f aca="false">'United Games For'!AH19-'United Games Against'!AH19</f>
        <v>-5</v>
      </c>
      <c r="AI19" s="35" t="n">
        <f aca="false">'United Games For'!AI19-'United Games Against'!AI19</f>
        <v>11</v>
      </c>
      <c r="AJ19" s="35" t="n">
        <f aca="false">'United Games For'!AJ19-'United Games Against'!AJ19</f>
        <v>3</v>
      </c>
      <c r="AK19" s="35" t="n">
        <f aca="false">'United Games For'!AK19-'United Games Against'!AK19</f>
        <v>16</v>
      </c>
      <c r="AL19" s="35" t="n">
        <f aca="false">'United Games For'!AL19-'United Games Against'!AL19</f>
        <v>-5</v>
      </c>
      <c r="AM19" s="35" t="n">
        <f aca="false">'United Games For'!AM19-'United Games Against'!AM19</f>
        <v>0</v>
      </c>
      <c r="AN19" s="35" t="n">
        <f aca="false">'United Games For'!AN19-'United Games Against'!AN19</f>
        <v>0</v>
      </c>
      <c r="AO19" s="35" t="n">
        <f aca="false">'United Games For'!AO19-'United Games Against'!AO19</f>
        <v>5</v>
      </c>
      <c r="AP19" s="35" t="n">
        <f aca="false">'United Games For'!AP19-'United Games Against'!AP19</f>
        <v>-8</v>
      </c>
      <c r="AQ19" s="35" t="n">
        <f aca="false">'United Games For'!AQ19-'United Games Against'!AQ19</f>
        <v>0</v>
      </c>
      <c r="AR19" s="35" t="n">
        <f aca="false">'United Games For'!AR19-'United Games Against'!AR19</f>
        <v>-1</v>
      </c>
      <c r="AS19" s="35" t="n">
        <f aca="false">'United Games For'!AS19-'United Games Against'!AS19</f>
        <v>2</v>
      </c>
      <c r="AT19" s="35" t="n">
        <f aca="false">'United Games For'!AT19-'United Games Against'!AT19</f>
        <v>-9</v>
      </c>
      <c r="AU19" s="35" t="n">
        <f aca="false">'United Games For'!AU19-'United Games Against'!AU19</f>
        <v>-4</v>
      </c>
      <c r="AV19" s="35" t="n">
        <f aca="false">'United Games For'!AV19-'United Games Against'!AV19</f>
        <v>-3</v>
      </c>
      <c r="AW19" s="35" t="n">
        <f aca="false">'United Games For'!AW19-'United Games Against'!AW19</f>
        <v>0</v>
      </c>
      <c r="AX19" s="35" t="n">
        <f aca="false">'United Games For'!AX19-'United Games Against'!AX19</f>
        <v>-24</v>
      </c>
      <c r="AY19" s="35" t="n">
        <f aca="false">'United Games For'!AY19-'United Games Against'!AY19</f>
        <v>-7</v>
      </c>
      <c r="AZ19" s="35" t="n">
        <f aca="false">'United Games For'!AZ19-'United Games Against'!AZ19</f>
        <v>-4</v>
      </c>
      <c r="BA19" s="35" t="n">
        <f aca="false">'United Games For'!BA19-'United Games Against'!BA19</f>
        <v>7</v>
      </c>
      <c r="BB19" s="35" t="n">
        <f aca="false">'United Games For'!BB19-'United Games Against'!BB19</f>
        <v>13</v>
      </c>
      <c r="BC19" s="35" t="n">
        <f aca="false">'United Games For'!BC19-'United Games Against'!BC19</f>
        <v>12</v>
      </c>
      <c r="BD19" s="35" t="n">
        <f aca="false">'United Games For'!BD19-'United Games Against'!BD19</f>
        <v>-2</v>
      </c>
      <c r="BE19" s="35" t="n">
        <f aca="false">'United Games For'!BE19-'United Games Against'!BE19</f>
        <v>-16</v>
      </c>
      <c r="BF19" s="35" t="n">
        <f aca="false">'United Games For'!BF19-'United Games Against'!BF19</f>
        <v>17</v>
      </c>
      <c r="BG19" s="35" t="n">
        <f aca="false">'United Games For'!BG19-'United Games Against'!BG19</f>
        <v>20</v>
      </c>
      <c r="BH19" s="35" t="n">
        <f aca="false">'United Games For'!BH19-'United Games Against'!BH19</f>
        <v>35</v>
      </c>
      <c r="BI19" s="35" t="n">
        <f aca="false">'United Games For'!BI19-'United Games Against'!BI19</f>
        <v>19</v>
      </c>
      <c r="BJ19" s="35" t="n">
        <f aca="false">'United Games For'!BJ19-'United Games Against'!BJ19</f>
        <v>54</v>
      </c>
      <c r="BK19" s="35" t="n">
        <f aca="false">'United Games For'!BK19-'United Games Against'!BK19</f>
        <v>-4</v>
      </c>
      <c r="BL19" s="35" t="n">
        <f aca="false">'United Games For'!BL19-'United Games Against'!BL19</f>
        <v>0</v>
      </c>
    </row>
    <row r="20" customFormat="false" ht="15" hidden="false" customHeight="false" outlineLevel="0" collapsed="false">
      <c r="A20" s="12" t="str">
        <f aca="false">'United Games For'!A20</f>
        <v>Tatura</v>
      </c>
      <c r="B20" s="34" t="n">
        <f aca="false">'United Games For'!B20</f>
        <v>16</v>
      </c>
      <c r="C20" s="12" t="str">
        <f aca="false">'United Games For'!C20</f>
        <v>Home &amp; away</v>
      </c>
      <c r="D20" s="12" t="str">
        <f aca="false">'United Games For'!D20</f>
        <v>W</v>
      </c>
      <c r="E20" s="35" t="n">
        <f aca="false">'United Games For'!E20-'United Games Against'!E20</f>
        <v>128</v>
      </c>
      <c r="F20" s="35" t="n">
        <f aca="false">'United Games For'!F20-'United Games Against'!F20</f>
        <v>83</v>
      </c>
      <c r="G20" s="35" t="n">
        <f aca="false">'United Games For'!G20-'United Games Against'!G20</f>
        <v>45</v>
      </c>
      <c r="H20" s="35" t="n">
        <f aca="false">'United Games For'!H20-'United Games Against'!H20</f>
        <v>38</v>
      </c>
      <c r="I20" s="35" t="n">
        <f aca="false">'United Games For'!I20-'United Games Against'!I20</f>
        <v>13</v>
      </c>
      <c r="J20" s="35" t="n">
        <f aca="false">'United Games For'!J20-'United Games Against'!J20</f>
        <v>16</v>
      </c>
      <c r="K20" s="35" t="n">
        <f aca="false">'United Games For'!K20-'United Games Against'!K20</f>
        <v>-3</v>
      </c>
      <c r="L20" s="35" t="n">
        <f aca="false">'United Games For'!L20-'United Games Against'!L20</f>
        <v>13</v>
      </c>
      <c r="M20" s="35" t="n">
        <f aca="false">'United Games For'!M20-'United Games Against'!M20</f>
        <v>17</v>
      </c>
      <c r="N20" s="35" t="n">
        <f aca="false">'United Games For'!N20-'United Games Against'!N20</f>
        <v>11</v>
      </c>
      <c r="O20" s="35" t="n">
        <f aca="false">'United Games For'!O20-'United Games Against'!O20</f>
        <v>61</v>
      </c>
      <c r="P20" s="35" t="n">
        <f aca="false">'United Games For'!P20-'United Games Against'!P20</f>
        <v>7</v>
      </c>
      <c r="Q20" s="35" t="n">
        <f aca="false">'United Games For'!Q20-'United Games Against'!Q20</f>
        <v>54</v>
      </c>
      <c r="R20" s="35" t="n">
        <f aca="false">'United Games For'!R20-'United Games Against'!R20</f>
        <v>-1</v>
      </c>
      <c r="S20" s="35" t="n">
        <f aca="false">'United Games For'!S20-'United Games Against'!S20</f>
        <v>27</v>
      </c>
      <c r="T20" s="35" t="n">
        <f aca="false">'United Games For'!T20-'United Games Against'!T20</f>
        <v>753</v>
      </c>
      <c r="U20" s="35" t="n">
        <f aca="false">'United Games For'!U20-'United Games Against'!U20</f>
        <v>37</v>
      </c>
      <c r="V20" s="35" t="n">
        <f aca="false">'United Games For'!V20-'United Games Against'!V20</f>
        <v>15</v>
      </c>
      <c r="W20" s="35" t="n">
        <f aca="false">'United Games For'!W20-'United Games Against'!W20</f>
        <v>-2</v>
      </c>
      <c r="X20" s="35" t="n">
        <f aca="false">'United Games For'!X20-'United Games Against'!X20</f>
        <v>-2</v>
      </c>
      <c r="Y20" s="35" t="n">
        <f aca="false">'United Games For'!Y20-'United Games Against'!Y20</f>
        <v>4</v>
      </c>
      <c r="Z20" s="35" t="n">
        <f aca="false">'United Games For'!Z20-'United Games Against'!Z20</f>
        <v>-4</v>
      </c>
      <c r="AA20" s="35" t="n">
        <f aca="false">'United Games For'!AA20-'United Games Against'!AA20</f>
        <v>43</v>
      </c>
      <c r="AB20" s="35" t="n">
        <f aca="false">'United Games For'!AB20-'United Games Against'!AB20</f>
        <v>-26</v>
      </c>
      <c r="AC20" s="35" t="n">
        <f aca="false">'United Games For'!AC20-'United Games Against'!AC20</f>
        <v>5</v>
      </c>
      <c r="AD20" s="35" t="n">
        <f aca="false">'United Games For'!AD20-'United Games Against'!AD20</f>
        <v>-11</v>
      </c>
      <c r="AE20" s="35" t="n">
        <f aca="false">'United Games For'!AE20-'United Games Against'!AE20</f>
        <v>-23</v>
      </c>
      <c r="AF20" s="35" t="n">
        <f aca="false">'United Games For'!AF20-'United Games Against'!AF20</f>
        <v>-12</v>
      </c>
      <c r="AG20" s="35" t="n">
        <f aca="false">'United Games For'!AG20-'United Games Against'!AG20</f>
        <v>-8</v>
      </c>
      <c r="AH20" s="35" t="n">
        <f aca="false">'United Games For'!AH20-'United Games Against'!AH20</f>
        <v>-25</v>
      </c>
      <c r="AI20" s="35" t="n">
        <f aca="false">'United Games For'!AI20-'United Games Against'!AI20</f>
        <v>21</v>
      </c>
      <c r="AJ20" s="35" t="n">
        <f aca="false">'United Games For'!AJ20-'United Games Against'!AJ20</f>
        <v>-28</v>
      </c>
      <c r="AK20" s="35" t="n">
        <f aca="false">'United Games For'!AK20-'United Games Against'!AK20</f>
        <v>0</v>
      </c>
      <c r="AL20" s="35" t="n">
        <f aca="false">'United Games For'!AL20-'United Games Against'!AL20</f>
        <v>-12</v>
      </c>
      <c r="AM20" s="35" t="n">
        <f aca="false">'United Games For'!AM20-'United Games Against'!AM20</f>
        <v>-2</v>
      </c>
      <c r="AN20" s="35" t="n">
        <f aca="false">'United Games For'!AN20-'United Games Against'!AN20</f>
        <v>-11</v>
      </c>
      <c r="AO20" s="35" t="n">
        <f aca="false">'United Games For'!AO20-'United Games Against'!AO20</f>
        <v>4</v>
      </c>
      <c r="AP20" s="35" t="n">
        <f aca="false">'United Games For'!AP20-'United Games Against'!AP20</f>
        <v>-14</v>
      </c>
      <c r="AQ20" s="35" t="n">
        <f aca="false">'United Games For'!AQ20-'United Games Against'!AQ20</f>
        <v>-7</v>
      </c>
      <c r="AR20" s="35" t="n">
        <f aca="false">'United Games For'!AR20-'United Games Against'!AR20</f>
        <v>8</v>
      </c>
      <c r="AS20" s="35" t="n">
        <f aca="false">'United Games For'!AS20-'United Games Against'!AS20</f>
        <v>-13</v>
      </c>
      <c r="AT20" s="35" t="n">
        <f aca="false">'United Games For'!AT20-'United Games Against'!AT20</f>
        <v>-9</v>
      </c>
      <c r="AU20" s="35" t="n">
        <f aca="false">'United Games For'!AU20-'United Games Against'!AU20</f>
        <v>18</v>
      </c>
      <c r="AV20" s="35" t="n">
        <f aca="false">'United Games For'!AV20-'United Games Against'!AV20</f>
        <v>9</v>
      </c>
      <c r="AW20" s="35" t="n">
        <f aca="false">'United Games For'!AW20-'United Games Against'!AW20</f>
        <v>2</v>
      </c>
      <c r="AX20" s="35" t="n">
        <f aca="false">'United Games For'!AX20-'United Games Against'!AX20</f>
        <v>11</v>
      </c>
      <c r="AY20" s="35" t="n">
        <f aca="false">'United Games For'!AY20-'United Games Against'!AY20</f>
        <v>29</v>
      </c>
      <c r="AZ20" s="35" t="n">
        <f aca="false">'United Games For'!AZ20-'United Games Against'!AZ20</f>
        <v>8</v>
      </c>
      <c r="BA20" s="35" t="n">
        <f aca="false">'United Games For'!BA20-'United Games Against'!BA20</f>
        <v>12</v>
      </c>
      <c r="BB20" s="35" t="n">
        <f aca="false">'United Games For'!BB20-'United Games Against'!BB20</f>
        <v>6</v>
      </c>
      <c r="BC20" s="35" t="n">
        <f aca="false">'United Games For'!BC20-'United Games Against'!BC20</f>
        <v>14</v>
      </c>
      <c r="BD20" s="35" t="n">
        <f aca="false">'United Games For'!BD20-'United Games Against'!BD20</f>
        <v>7</v>
      </c>
      <c r="BE20" s="35" t="n">
        <f aca="false">'United Games For'!BE20-'United Games Against'!BE20</f>
        <v>20</v>
      </c>
      <c r="BF20" s="35" t="n">
        <f aca="false">'United Games For'!BF20-'United Games Against'!BF20</f>
        <v>21</v>
      </c>
      <c r="BG20" s="35" t="n">
        <f aca="false">'United Games For'!BG20-'United Games Against'!BG20</f>
        <v>37</v>
      </c>
      <c r="BH20" s="35" t="n">
        <f aca="false">'United Games For'!BH20-'United Games Against'!BH20</f>
        <v>91</v>
      </c>
      <c r="BI20" s="35" t="n">
        <f aca="false">'United Games For'!BI20-'United Games Against'!BI20</f>
        <v>47</v>
      </c>
      <c r="BJ20" s="35" t="n">
        <f aca="false">'United Games For'!BJ20-'United Games Against'!BJ20</f>
        <v>138</v>
      </c>
      <c r="BK20" s="35" t="n">
        <f aca="false">'United Games For'!BK20-'United Games Against'!BK20</f>
        <v>6</v>
      </c>
      <c r="BL20" s="35" t="n">
        <f aca="false">'United Games For'!BL20-'United Games Against'!BL20</f>
        <v>-12</v>
      </c>
    </row>
    <row r="21" customFormat="false" ht="15" hidden="false" customHeight="false" outlineLevel="0" collapsed="false">
      <c r="A21" s="12" t="str">
        <f aca="false">'United Games For'!A21</f>
        <v>Echuca</v>
      </c>
      <c r="B21" s="34" t="n">
        <f aca="false">'United Games For'!B21</f>
        <v>17</v>
      </c>
      <c r="C21" s="12" t="str">
        <f aca="false">'United Games For'!C21</f>
        <v>Home &amp; away</v>
      </c>
      <c r="D21" s="12" t="str">
        <f aca="false">'United Games For'!D21</f>
        <v>L</v>
      </c>
      <c r="E21" s="35" t="n">
        <f aca="false">'United Games For'!E21-'United Games Against'!E21</f>
        <v>-112</v>
      </c>
      <c r="F21" s="35" t="n">
        <f aca="false">'United Games For'!F21-'United Games Against'!F21</f>
        <v>-52</v>
      </c>
      <c r="G21" s="35" t="n">
        <f aca="false">'United Games For'!G21-'United Games Against'!G21</f>
        <v>-60</v>
      </c>
      <c r="H21" s="35" t="n">
        <f aca="false">'United Games For'!H21-'United Games Against'!H21</f>
        <v>-36</v>
      </c>
      <c r="I21" s="35" t="n">
        <f aca="false">'United Games For'!I21-'United Games Against'!I21</f>
        <v>-28</v>
      </c>
      <c r="J21" s="35" t="n">
        <f aca="false">'United Games For'!J21-'United Games Against'!J21</f>
        <v>-2</v>
      </c>
      <c r="K21" s="35" t="n">
        <f aca="false">'United Games For'!K21-'United Games Against'!K21</f>
        <v>-26</v>
      </c>
      <c r="L21" s="35" t="n">
        <f aca="false">'United Games For'!L21-'United Games Against'!L21</f>
        <v>7</v>
      </c>
      <c r="M21" s="35" t="n">
        <f aca="false">'United Games For'!M21-'United Games Against'!M21</f>
        <v>-13</v>
      </c>
      <c r="N21" s="35" t="n">
        <f aca="false">'United Games For'!N21-'United Games Against'!N21</f>
        <v>0</v>
      </c>
      <c r="O21" s="35" t="n">
        <f aca="false">'United Games For'!O21-'United Games Against'!O21</f>
        <v>-12</v>
      </c>
      <c r="P21" s="35" t="n">
        <f aca="false">'United Games For'!P21-'United Games Against'!P21</f>
        <v>-4</v>
      </c>
      <c r="Q21" s="35" t="n">
        <f aca="false">'United Games For'!Q21-'United Games Against'!Q21</f>
        <v>-8</v>
      </c>
      <c r="R21" s="35" t="n">
        <f aca="false">'United Games For'!R21-'United Games Against'!R21</f>
        <v>7</v>
      </c>
      <c r="S21" s="35" t="n">
        <f aca="false">'United Games For'!S21-'United Games Against'!S21</f>
        <v>-16</v>
      </c>
      <c r="T21" s="35" t="n">
        <f aca="false">'United Games For'!T21-'United Games Against'!T21</f>
        <v>-519</v>
      </c>
      <c r="U21" s="35" t="n">
        <f aca="false">'United Games For'!U21-'United Games Against'!U21</f>
        <v>42</v>
      </c>
      <c r="V21" s="35" t="n">
        <f aca="false">'United Games For'!V21-'United Games Against'!V21</f>
        <v>9</v>
      </c>
      <c r="W21" s="35" t="n">
        <f aca="false">'United Games For'!W21-'United Games Against'!W21</f>
        <v>-22</v>
      </c>
      <c r="X21" s="35" t="n">
        <f aca="false">'United Games For'!X21-'United Games Against'!X21</f>
        <v>-7</v>
      </c>
      <c r="Y21" s="35" t="n">
        <f aca="false">'United Games For'!Y21-'United Games Against'!Y21</f>
        <v>-10</v>
      </c>
      <c r="Z21" s="35" t="n">
        <f aca="false">'United Games For'!Z21-'United Games Against'!Z21</f>
        <v>-5</v>
      </c>
      <c r="AA21" s="35" t="n">
        <f aca="false">'United Games For'!AA21-'United Games Against'!AA21</f>
        <v>-24</v>
      </c>
      <c r="AB21" s="35" t="n">
        <f aca="false">'United Games For'!AB21-'United Games Against'!AB21</f>
        <v>3</v>
      </c>
      <c r="AC21" s="35" t="n">
        <f aca="false">'United Games For'!AC21-'United Games Against'!AC21</f>
        <v>-1</v>
      </c>
      <c r="AD21" s="35" t="n">
        <f aca="false">'United Games For'!AD21-'United Games Against'!AD21</f>
        <v>-2</v>
      </c>
      <c r="AE21" s="35" t="n">
        <f aca="false">'United Games For'!AE21-'United Games Against'!AE21</f>
        <v>-2</v>
      </c>
      <c r="AF21" s="35" t="n">
        <f aca="false">'United Games For'!AF21-'United Games Against'!AF21</f>
        <v>-9</v>
      </c>
      <c r="AG21" s="35" t="n">
        <f aca="false">'United Games For'!AG21-'United Games Against'!AG21</f>
        <v>1</v>
      </c>
      <c r="AH21" s="35" t="n">
        <f aca="false">'United Games For'!AH21-'United Games Against'!AH21</f>
        <v>3</v>
      </c>
      <c r="AI21" s="35" t="n">
        <f aca="false">'United Games For'!AI21-'United Games Against'!AI21</f>
        <v>-13</v>
      </c>
      <c r="AJ21" s="35" t="n">
        <f aca="false">'United Games For'!AJ21-'United Games Against'!AJ21</f>
        <v>-8</v>
      </c>
      <c r="AK21" s="35" t="n">
        <f aca="false">'United Games For'!AK21-'United Games Against'!AK21</f>
        <v>-5</v>
      </c>
      <c r="AL21" s="35" t="n">
        <f aca="false">'United Games For'!AL21-'United Games Against'!AL21</f>
        <v>6</v>
      </c>
      <c r="AM21" s="35" t="n">
        <f aca="false">'United Games For'!AM21-'United Games Against'!AM21</f>
        <v>-3</v>
      </c>
      <c r="AN21" s="35" t="n">
        <f aca="false">'United Games For'!AN21-'United Games Against'!AN21</f>
        <v>0</v>
      </c>
      <c r="AO21" s="35" t="n">
        <f aca="false">'United Games For'!AO21-'United Games Against'!AO21</f>
        <v>-3</v>
      </c>
      <c r="AP21" s="35" t="n">
        <f aca="false">'United Games For'!AP21-'United Games Against'!AP21</f>
        <v>-6</v>
      </c>
      <c r="AQ21" s="35" t="n">
        <f aca="false">'United Games For'!AQ21-'United Games Against'!AQ21</f>
        <v>-11</v>
      </c>
      <c r="AR21" s="35" t="n">
        <f aca="false">'United Games For'!AR21-'United Games Against'!AR21</f>
        <v>-3</v>
      </c>
      <c r="AS21" s="35" t="n">
        <f aca="false">'United Games For'!AS21-'United Games Against'!AS21</f>
        <v>-2</v>
      </c>
      <c r="AT21" s="35" t="n">
        <f aca="false">'United Games For'!AT21-'United Games Against'!AT21</f>
        <v>-1</v>
      </c>
      <c r="AU21" s="35" t="n">
        <f aca="false">'United Games For'!AU21-'United Games Against'!AU21</f>
        <v>-17</v>
      </c>
      <c r="AV21" s="35" t="n">
        <f aca="false">'United Games For'!AV21-'United Games Against'!AV21</f>
        <v>2</v>
      </c>
      <c r="AW21" s="35" t="n">
        <f aca="false">'United Games For'!AW21-'United Games Against'!AW21</f>
        <v>0</v>
      </c>
      <c r="AX21" s="35" t="n">
        <f aca="false">'United Games For'!AX21-'United Games Against'!AX21</f>
        <v>-3</v>
      </c>
      <c r="AY21" s="35" t="n">
        <f aca="false">'United Games For'!AY21-'United Games Against'!AY21</f>
        <v>-15</v>
      </c>
      <c r="AZ21" s="35" t="n">
        <f aca="false">'United Games For'!AZ21-'United Games Against'!AZ21</f>
        <v>-28</v>
      </c>
      <c r="BA21" s="35" t="n">
        <f aca="false">'United Games For'!BA21-'United Games Against'!BA21</f>
        <v>-10</v>
      </c>
      <c r="BB21" s="35" t="n">
        <f aca="false">'United Games For'!BB21-'United Games Against'!BB21</f>
        <v>-16</v>
      </c>
      <c r="BC21" s="35" t="n">
        <f aca="false">'United Games For'!BC21-'United Games Against'!BC21</f>
        <v>-9</v>
      </c>
      <c r="BD21" s="35" t="n">
        <f aca="false">'United Games For'!BD21-'United Games Against'!BD21</f>
        <v>-12</v>
      </c>
      <c r="BE21" s="35" t="n">
        <f aca="false">'United Games For'!BE21-'United Games Against'!BE21</f>
        <v>-16</v>
      </c>
      <c r="BF21" s="35" t="n">
        <f aca="false">'United Games For'!BF21-'United Games Against'!BF21</f>
        <v>-25</v>
      </c>
      <c r="BG21" s="35" t="n">
        <f aca="false">'United Games For'!BG21-'United Games Against'!BG21</f>
        <v>16</v>
      </c>
      <c r="BH21" s="35" t="n">
        <f aca="false">'United Games For'!BH21-'United Games Against'!BH21</f>
        <v>-49</v>
      </c>
      <c r="BI21" s="35" t="n">
        <f aca="false">'United Games For'!BI21-'United Games Against'!BI21</f>
        <v>-65</v>
      </c>
      <c r="BJ21" s="35" t="n">
        <f aca="false">'United Games For'!BJ21-'United Games Against'!BJ21</f>
        <v>-114</v>
      </c>
      <c r="BK21" s="35" t="n">
        <f aca="false">'United Games For'!BK21-'United Games Against'!BK21</f>
        <v>-23</v>
      </c>
      <c r="BL21" s="35" t="n">
        <f aca="false">'United Games For'!BL21-'United Games Against'!BL21</f>
        <v>-6</v>
      </c>
    </row>
    <row r="22" customFormat="false" ht="15" hidden="false" customHeight="false" outlineLevel="0" collapsed="false">
      <c r="A22" s="12" t="str">
        <f aca="false">'United Games For'!A22</f>
        <v>Mansfield</v>
      </c>
      <c r="B22" s="34" t="n">
        <f aca="false">'United Games For'!B22</f>
        <v>18</v>
      </c>
      <c r="C22" s="12" t="str">
        <f aca="false">'United Games For'!C22</f>
        <v>Home &amp; away</v>
      </c>
      <c r="D22" s="12" t="str">
        <f aca="false">'United Games For'!D22</f>
        <v>W</v>
      </c>
      <c r="E22" s="35" t="n">
        <f aca="false">'United Games For'!E22-'United Games Against'!E22</f>
        <v>64</v>
      </c>
      <c r="F22" s="35" t="n">
        <f aca="false">'United Games For'!F22-'United Games Against'!F22</f>
        <v>37</v>
      </c>
      <c r="G22" s="35" t="n">
        <f aca="false">'United Games For'!G22-'United Games Against'!G22</f>
        <v>27</v>
      </c>
      <c r="H22" s="35" t="n">
        <f aca="false">'United Games For'!H22-'United Games Against'!H22</f>
        <v>15</v>
      </c>
      <c r="I22" s="35" t="n">
        <f aca="false">'United Games For'!I22-'United Games Against'!I22</f>
        <v>14</v>
      </c>
      <c r="J22" s="35" t="n">
        <f aca="false">'United Games For'!J22-'United Games Against'!J22</f>
        <v>12</v>
      </c>
      <c r="K22" s="35" t="n">
        <f aca="false">'United Games For'!K22-'United Games Against'!K22</f>
        <v>2</v>
      </c>
      <c r="L22" s="35" t="n">
        <f aca="false">'United Games For'!L22-'United Games Against'!L22</f>
        <v>-5</v>
      </c>
      <c r="M22" s="35" t="n">
        <f aca="false">'United Games For'!M22-'United Games Against'!M22</f>
        <v>13</v>
      </c>
      <c r="N22" s="35" t="n">
        <f aca="false">'United Games For'!N22-'United Games Against'!N22</f>
        <v>-4</v>
      </c>
      <c r="O22" s="35" t="n">
        <f aca="false">'United Games For'!O22-'United Games Against'!O22</f>
        <v>14</v>
      </c>
      <c r="P22" s="35" t="n">
        <f aca="false">'United Games For'!P22-'United Games Against'!P22</f>
        <v>-6</v>
      </c>
      <c r="Q22" s="35" t="n">
        <f aca="false">'United Games For'!Q22-'United Games Against'!Q22</f>
        <v>20</v>
      </c>
      <c r="R22" s="35" t="n">
        <f aca="false">'United Games For'!R22-'United Games Against'!R22</f>
        <v>-1</v>
      </c>
      <c r="S22" s="35" t="n">
        <f aca="false">'United Games For'!S22-'United Games Against'!S22</f>
        <v>-1</v>
      </c>
      <c r="T22" s="35" t="n">
        <f aca="false">'United Games For'!T22-'United Games Against'!T22</f>
        <v>161</v>
      </c>
      <c r="U22" s="35" t="n">
        <f aca="false">'United Games For'!U22-'United Games Against'!U22</f>
        <v>13</v>
      </c>
      <c r="V22" s="35" t="n">
        <f aca="false">'United Games For'!V22-'United Games Against'!V22</f>
        <v>3</v>
      </c>
      <c r="W22" s="35" t="n">
        <f aca="false">'United Games For'!W22-'United Games Against'!W22</f>
        <v>3</v>
      </c>
      <c r="X22" s="35" t="n">
        <f aca="false">'United Games For'!X22-'United Games Against'!X22</f>
        <v>-5</v>
      </c>
      <c r="Y22" s="35" t="n">
        <f aca="false">'United Games For'!Y22-'United Games Against'!Y22</f>
        <v>6</v>
      </c>
      <c r="Z22" s="35" t="n">
        <f aca="false">'United Games For'!Z22-'United Games Against'!Z22</f>
        <v>2</v>
      </c>
      <c r="AA22" s="35" t="n">
        <f aca="false">'United Games For'!AA22-'United Games Against'!AA22</f>
        <v>-4</v>
      </c>
      <c r="AB22" s="35" t="n">
        <f aca="false">'United Games For'!AB22-'United Games Against'!AB22</f>
        <v>12</v>
      </c>
      <c r="AC22" s="35" t="n">
        <f aca="false">'United Games For'!AC22-'United Games Against'!AC22</f>
        <v>-4</v>
      </c>
      <c r="AD22" s="35" t="n">
        <f aca="false">'United Games For'!AD22-'United Games Against'!AD22</f>
        <v>9</v>
      </c>
      <c r="AE22" s="35" t="n">
        <f aca="false">'United Games For'!AE22-'United Games Against'!AE22</f>
        <v>-8</v>
      </c>
      <c r="AF22" s="35" t="n">
        <f aca="false">'United Games For'!AF22-'United Games Against'!AF22</f>
        <v>4</v>
      </c>
      <c r="AG22" s="35" t="n">
        <f aca="false">'United Games For'!AG22-'United Games Against'!AG22</f>
        <v>0</v>
      </c>
      <c r="AH22" s="35" t="n">
        <f aca="false">'United Games For'!AH22-'United Games Against'!AH22</f>
        <v>3</v>
      </c>
      <c r="AI22" s="35" t="n">
        <f aca="false">'United Games For'!AI22-'United Games Against'!AI22</f>
        <v>1</v>
      </c>
      <c r="AJ22" s="35" t="n">
        <f aca="false">'United Games For'!AJ22-'United Games Against'!AJ22</f>
        <v>-33</v>
      </c>
      <c r="AK22" s="35" t="n">
        <f aca="false">'United Games For'!AK22-'United Games Against'!AK22</f>
        <v>-19</v>
      </c>
      <c r="AL22" s="35" t="n">
        <f aca="false">'United Games For'!AL22-'United Games Against'!AL22</f>
        <v>2</v>
      </c>
      <c r="AM22" s="35" t="n">
        <f aca="false">'United Games For'!AM22-'United Games Against'!AM22</f>
        <v>-3</v>
      </c>
      <c r="AN22" s="35" t="n">
        <f aca="false">'United Games For'!AN22-'United Games Against'!AN22</f>
        <v>1</v>
      </c>
      <c r="AO22" s="35" t="n">
        <f aca="false">'United Games For'!AO22-'United Games Against'!AO22</f>
        <v>-7</v>
      </c>
      <c r="AP22" s="35" t="n">
        <f aca="false">'United Games For'!AP22-'United Games Against'!AP22</f>
        <v>-13</v>
      </c>
      <c r="AQ22" s="35" t="n">
        <f aca="false">'United Games For'!AQ22-'United Games Against'!AQ22</f>
        <v>-10</v>
      </c>
      <c r="AR22" s="35" t="n">
        <f aca="false">'United Games For'!AR22-'United Games Against'!AR22</f>
        <v>-8</v>
      </c>
      <c r="AS22" s="35" t="n">
        <f aca="false">'United Games For'!AS22-'United Games Against'!AS22</f>
        <v>-10</v>
      </c>
      <c r="AT22" s="35" t="n">
        <f aca="false">'United Games For'!AT22-'United Games Against'!AT22</f>
        <v>5</v>
      </c>
      <c r="AU22" s="35" t="n">
        <f aca="false">'United Games For'!AU22-'United Games Against'!AU22</f>
        <v>5</v>
      </c>
      <c r="AV22" s="35" t="n">
        <f aca="false">'United Games For'!AV22-'United Games Against'!AV22</f>
        <v>-7</v>
      </c>
      <c r="AW22" s="35" t="n">
        <f aca="false">'United Games For'!AW22-'United Games Against'!AW22</f>
        <v>-3</v>
      </c>
      <c r="AX22" s="35" t="n">
        <f aca="false">'United Games For'!AX22-'United Games Against'!AX22</f>
        <v>-5</v>
      </c>
      <c r="AY22" s="35" t="n">
        <f aca="false">'United Games For'!AY22-'United Games Against'!AY22</f>
        <v>-5</v>
      </c>
      <c r="AZ22" s="35" t="n">
        <f aca="false">'United Games For'!AZ22-'United Games Against'!AZ22</f>
        <v>31</v>
      </c>
      <c r="BA22" s="35" t="n">
        <f aca="false">'United Games For'!BA22-'United Games Against'!BA22</f>
        <v>2</v>
      </c>
      <c r="BB22" s="35" t="n">
        <f aca="false">'United Games For'!BB22-'United Games Against'!BB22</f>
        <v>2</v>
      </c>
      <c r="BC22" s="35" t="n">
        <f aca="false">'United Games For'!BC22-'United Games Against'!BC22</f>
        <v>4</v>
      </c>
      <c r="BD22" s="35" t="n">
        <f aca="false">'United Games For'!BD22-'United Games Against'!BD22</f>
        <v>-1</v>
      </c>
      <c r="BE22" s="35" t="n">
        <f aca="false">'United Games For'!BE22-'United Games Against'!BE22</f>
        <v>8</v>
      </c>
      <c r="BF22" s="35" t="n">
        <f aca="false">'United Games For'!BF22-'United Games Against'!BF22</f>
        <v>0</v>
      </c>
      <c r="BG22" s="35" t="n">
        <f aca="false">'United Games For'!BG22-'United Games Against'!BG22</f>
        <v>-14</v>
      </c>
      <c r="BH22" s="35" t="n">
        <f aca="false">'United Games For'!BH22-'United Games Against'!BH22</f>
        <v>31</v>
      </c>
      <c r="BI22" s="35" t="n">
        <f aca="false">'United Games For'!BI22-'United Games Against'!BI22</f>
        <v>20</v>
      </c>
      <c r="BJ22" s="35" t="n">
        <f aca="false">'United Games For'!BJ22-'United Games Against'!BJ22</f>
        <v>51</v>
      </c>
      <c r="BK22" s="35" t="n">
        <f aca="false">'United Games For'!BK22-'United Games Against'!BK22</f>
        <v>6</v>
      </c>
      <c r="BL22" s="35" t="n">
        <f aca="false">'United Games For'!BL22-'United Games Against'!BL22</f>
        <v>7</v>
      </c>
    </row>
  </sheetData>
  <conditionalFormatting sqref="E5:BL22">
    <cfRule type="cellIs" priority="2" operator="greaterThan" aboveAverage="0" equalAverage="0" bottom="0" percent="0" rank="0" text="" dxfId="42">
      <formula>0</formula>
    </cfRule>
    <cfRule type="cellIs" priority="3" operator="lessThan" aboveAverage="0" equalAverage="0" bottom="0" percent="0" rank="0" text="" dxfId="4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8F3A"/>
    <pageSetUpPr fitToPage="false"/>
  </sheetPr>
  <dimension ref="A1:B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8" t="s">
        <v>207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">
        <v>203</v>
      </c>
      <c r="B5" s="34" t="n">
        <v>1</v>
      </c>
      <c r="C5" s="12" t="s">
        <v>211</v>
      </c>
      <c r="D5" s="12" t="s">
        <v>213</v>
      </c>
      <c r="E5" s="34" t="n">
        <v>375</v>
      </c>
      <c r="F5" s="34" t="n">
        <v>219</v>
      </c>
      <c r="G5" s="34" t="n">
        <v>156</v>
      </c>
      <c r="H5" s="34" t="n">
        <v>152</v>
      </c>
      <c r="I5" s="34" t="n">
        <v>96</v>
      </c>
      <c r="J5" s="34" t="n">
        <v>34</v>
      </c>
      <c r="K5" s="34" t="n">
        <v>62</v>
      </c>
      <c r="L5" s="34" t="n">
        <v>59</v>
      </c>
      <c r="M5" s="34" t="n">
        <v>42</v>
      </c>
      <c r="N5" s="34" t="n">
        <v>5</v>
      </c>
      <c r="O5" s="34" t="n">
        <v>82</v>
      </c>
      <c r="P5" s="34" t="n">
        <v>13</v>
      </c>
      <c r="Q5" s="34" t="n">
        <v>69</v>
      </c>
      <c r="R5" s="34" t="n">
        <v>10</v>
      </c>
      <c r="S5" s="34" t="n">
        <v>22</v>
      </c>
      <c r="T5" s="34" t="n">
        <v>1813</v>
      </c>
      <c r="U5" s="34" t="n">
        <v>44</v>
      </c>
      <c r="V5" s="34" t="n">
        <v>16</v>
      </c>
      <c r="W5" s="34" t="n">
        <v>50</v>
      </c>
      <c r="X5" s="34" t="n">
        <v>18</v>
      </c>
      <c r="Y5" s="34" t="n">
        <v>21</v>
      </c>
      <c r="Z5" s="34" t="n">
        <v>11</v>
      </c>
      <c r="AA5" s="34" t="n">
        <v>72</v>
      </c>
      <c r="AB5" s="34" t="n">
        <v>11</v>
      </c>
      <c r="AC5" s="34" t="n">
        <v>19</v>
      </c>
      <c r="AD5" s="34" t="n">
        <v>0</v>
      </c>
      <c r="AE5" s="34" t="n">
        <v>40</v>
      </c>
      <c r="AF5" s="34" t="n">
        <v>53</v>
      </c>
      <c r="AG5" s="34" t="n">
        <v>0</v>
      </c>
      <c r="AH5" s="34" t="n">
        <v>19</v>
      </c>
      <c r="AI5" s="34" t="n">
        <v>34</v>
      </c>
      <c r="AJ5" s="34" t="n">
        <v>129</v>
      </c>
      <c r="AK5" s="34" t="n">
        <v>53</v>
      </c>
      <c r="AL5" s="34" t="n">
        <v>19</v>
      </c>
      <c r="AM5" s="34" t="n">
        <v>4</v>
      </c>
      <c r="AN5" s="34" t="n">
        <v>12</v>
      </c>
      <c r="AO5" s="34" t="n">
        <v>16</v>
      </c>
      <c r="AP5" s="34" t="n">
        <v>53</v>
      </c>
      <c r="AQ5" s="34" t="n">
        <v>40</v>
      </c>
      <c r="AR5" s="34" t="n">
        <v>10</v>
      </c>
      <c r="AS5" s="34" t="n">
        <v>36</v>
      </c>
      <c r="AT5" s="34" t="n">
        <v>7</v>
      </c>
      <c r="AU5" s="34" t="n">
        <v>23</v>
      </c>
      <c r="AV5" s="34" t="n">
        <v>17</v>
      </c>
      <c r="AW5" s="34" t="n">
        <v>2</v>
      </c>
      <c r="AX5" s="34" t="n">
        <v>58</v>
      </c>
      <c r="AY5" s="34" t="n">
        <v>42</v>
      </c>
      <c r="AZ5" s="34" t="n">
        <v>54</v>
      </c>
      <c r="BA5" s="34" t="n">
        <v>77</v>
      </c>
      <c r="BB5" s="34" t="n">
        <v>65</v>
      </c>
      <c r="BC5" s="34" t="n">
        <v>68</v>
      </c>
      <c r="BD5" s="34" t="n">
        <v>88</v>
      </c>
      <c r="BE5" s="34" t="n">
        <v>74</v>
      </c>
      <c r="BF5" s="34" t="n">
        <v>64</v>
      </c>
      <c r="BG5" s="34" t="n">
        <v>0</v>
      </c>
      <c r="BH5" s="34" t="n">
        <v>150</v>
      </c>
      <c r="BI5" s="34" t="n">
        <v>138</v>
      </c>
      <c r="BJ5" s="34" t="n">
        <v>288</v>
      </c>
      <c r="BK5" s="34" t="n">
        <v>37</v>
      </c>
      <c r="BL5" s="34" t="n">
        <v>7</v>
      </c>
    </row>
    <row r="6" customFormat="false" ht="15" hidden="false" customHeight="false" outlineLevel="0" collapsed="false">
      <c r="A6" s="12" t="s">
        <v>202</v>
      </c>
      <c r="B6" s="34" t="n">
        <v>2</v>
      </c>
      <c r="C6" s="12" t="s">
        <v>211</v>
      </c>
      <c r="D6" s="12" t="s">
        <v>213</v>
      </c>
      <c r="E6" s="34" t="n">
        <v>397</v>
      </c>
      <c r="F6" s="34" t="n">
        <v>266</v>
      </c>
      <c r="G6" s="34" t="n">
        <v>131</v>
      </c>
      <c r="H6" s="34" t="n">
        <v>149</v>
      </c>
      <c r="I6" s="34" t="n">
        <v>92</v>
      </c>
      <c r="J6" s="34" t="n">
        <v>30</v>
      </c>
      <c r="K6" s="34" t="n">
        <v>62</v>
      </c>
      <c r="L6" s="34" t="n">
        <v>79</v>
      </c>
      <c r="M6" s="34" t="n">
        <v>48</v>
      </c>
      <c r="N6" s="34" t="n">
        <v>6</v>
      </c>
      <c r="O6" s="34" t="n">
        <v>130</v>
      </c>
      <c r="P6" s="34" t="n">
        <v>12</v>
      </c>
      <c r="Q6" s="34" t="n">
        <v>118</v>
      </c>
      <c r="R6" s="34" t="n">
        <v>13</v>
      </c>
      <c r="S6" s="34" t="n">
        <v>21</v>
      </c>
      <c r="T6" s="34" t="n">
        <v>1811</v>
      </c>
      <c r="U6" s="34" t="n">
        <v>34</v>
      </c>
      <c r="V6" s="34" t="n">
        <v>7</v>
      </c>
      <c r="W6" s="34" t="n">
        <v>46</v>
      </c>
      <c r="X6" s="34" t="n">
        <v>7</v>
      </c>
      <c r="Y6" s="34" t="n">
        <v>22</v>
      </c>
      <c r="Z6" s="34" t="n">
        <v>17</v>
      </c>
      <c r="AA6" s="34" t="n">
        <v>56</v>
      </c>
      <c r="AB6" s="34" t="n">
        <v>23</v>
      </c>
      <c r="AC6" s="34" t="n">
        <v>25</v>
      </c>
      <c r="AD6" s="34" t="n">
        <v>4</v>
      </c>
      <c r="AE6" s="34" t="n">
        <v>47</v>
      </c>
      <c r="AF6" s="34" t="n">
        <v>73</v>
      </c>
      <c r="AG6" s="34" t="n">
        <v>1</v>
      </c>
      <c r="AH6" s="34" t="n">
        <v>46</v>
      </c>
      <c r="AI6" s="34" t="n">
        <v>26</v>
      </c>
      <c r="AJ6" s="34" t="n">
        <v>128</v>
      </c>
      <c r="AK6" s="34" t="n">
        <v>34</v>
      </c>
      <c r="AL6" s="34" t="n">
        <v>10</v>
      </c>
      <c r="AM6" s="34" t="n">
        <v>12</v>
      </c>
      <c r="AN6" s="34" t="n">
        <v>14</v>
      </c>
      <c r="AO6" s="34" t="n">
        <v>16</v>
      </c>
      <c r="AP6" s="34" t="n">
        <v>72</v>
      </c>
      <c r="AQ6" s="34" t="n">
        <v>54</v>
      </c>
      <c r="AR6" s="34" t="n">
        <v>10</v>
      </c>
      <c r="AS6" s="34" t="n">
        <v>59</v>
      </c>
      <c r="AT6" s="34" t="n">
        <v>3</v>
      </c>
      <c r="AU6" s="34" t="n">
        <v>10</v>
      </c>
      <c r="AV6" s="34" t="n">
        <v>15</v>
      </c>
      <c r="AW6" s="34" t="n">
        <v>2</v>
      </c>
      <c r="AX6" s="34" t="n">
        <v>48</v>
      </c>
      <c r="AY6" s="34" t="n">
        <v>27</v>
      </c>
      <c r="AZ6" s="34" t="n">
        <v>37</v>
      </c>
      <c r="BA6" s="34" t="n">
        <v>74</v>
      </c>
      <c r="BB6" s="34" t="n">
        <v>61</v>
      </c>
      <c r="BC6" s="34" t="n">
        <v>71</v>
      </c>
      <c r="BD6" s="34" t="n">
        <v>78</v>
      </c>
      <c r="BE6" s="34" t="n">
        <v>63</v>
      </c>
      <c r="BF6" s="34" t="n">
        <v>78</v>
      </c>
      <c r="BG6" s="34" t="n">
        <v>100</v>
      </c>
      <c r="BH6" s="34" t="n">
        <v>189</v>
      </c>
      <c r="BI6" s="34" t="n">
        <v>103</v>
      </c>
      <c r="BJ6" s="34" t="n">
        <v>292</v>
      </c>
      <c r="BK6" s="34" t="n">
        <v>29</v>
      </c>
      <c r="BL6" s="34" t="n">
        <v>18</v>
      </c>
    </row>
    <row r="7" customFormat="false" ht="15" hidden="false" customHeight="false" outlineLevel="0" collapsed="false">
      <c r="A7" s="12" t="s">
        <v>197</v>
      </c>
      <c r="B7" s="34" t="n">
        <v>3</v>
      </c>
      <c r="C7" s="12" t="s">
        <v>211</v>
      </c>
      <c r="D7" s="12" t="s">
        <v>213</v>
      </c>
      <c r="E7" s="34" t="n">
        <v>361</v>
      </c>
      <c r="F7" s="34" t="n">
        <v>217</v>
      </c>
      <c r="G7" s="34" t="n">
        <v>144</v>
      </c>
      <c r="H7" s="34" t="n">
        <v>160</v>
      </c>
      <c r="I7" s="34" t="n">
        <v>118</v>
      </c>
      <c r="J7" s="34" t="n">
        <v>54</v>
      </c>
      <c r="K7" s="34" t="n">
        <v>64</v>
      </c>
      <c r="L7" s="34" t="n">
        <v>80</v>
      </c>
      <c r="M7" s="34" t="n">
        <v>56</v>
      </c>
      <c r="N7" s="34" t="n">
        <v>4</v>
      </c>
      <c r="O7" s="34" t="n">
        <v>72</v>
      </c>
      <c r="P7" s="34" t="n">
        <v>10</v>
      </c>
      <c r="Q7" s="34" t="n">
        <v>62</v>
      </c>
      <c r="R7" s="34" t="n">
        <v>14</v>
      </c>
      <c r="S7" s="34" t="n">
        <v>12</v>
      </c>
      <c r="T7" s="34" t="n">
        <v>1773</v>
      </c>
      <c r="U7" s="34" t="n">
        <v>57</v>
      </c>
      <c r="V7" s="34" t="n">
        <v>18</v>
      </c>
      <c r="W7" s="34" t="n">
        <v>50</v>
      </c>
      <c r="X7" s="34" t="n">
        <v>11</v>
      </c>
      <c r="Y7" s="34" t="n">
        <v>26</v>
      </c>
      <c r="Z7" s="34" t="n">
        <v>13</v>
      </c>
      <c r="AA7" s="34" t="n">
        <v>58</v>
      </c>
      <c r="AB7" s="34" t="n">
        <v>44</v>
      </c>
      <c r="AC7" s="34" t="n">
        <v>17</v>
      </c>
      <c r="AD7" s="34" t="n">
        <v>8</v>
      </c>
      <c r="AE7" s="34" t="n">
        <v>66</v>
      </c>
      <c r="AF7" s="34" t="n">
        <v>85</v>
      </c>
      <c r="AG7" s="34" t="n">
        <v>11</v>
      </c>
      <c r="AH7" s="34" t="n">
        <v>49</v>
      </c>
      <c r="AI7" s="34" t="n">
        <v>25</v>
      </c>
      <c r="AJ7" s="34" t="n">
        <v>179</v>
      </c>
      <c r="AK7" s="34" t="n">
        <v>64</v>
      </c>
      <c r="AL7" s="34" t="n">
        <v>15</v>
      </c>
      <c r="AM7" s="34" t="n">
        <v>4</v>
      </c>
      <c r="AN7" s="34" t="n">
        <v>31</v>
      </c>
      <c r="AO7" s="34" t="n">
        <v>15</v>
      </c>
      <c r="AP7" s="34" t="n">
        <v>96</v>
      </c>
      <c r="AQ7" s="34" t="n">
        <v>70</v>
      </c>
      <c r="AR7" s="34" t="n">
        <v>21</v>
      </c>
      <c r="AS7" s="34" t="n">
        <v>56</v>
      </c>
      <c r="AT7" s="34" t="n">
        <v>19</v>
      </c>
      <c r="AU7" s="34" t="n">
        <v>12</v>
      </c>
      <c r="AV7" s="34" t="n">
        <v>11</v>
      </c>
      <c r="AW7" s="34" t="n">
        <v>3</v>
      </c>
      <c r="AX7" s="34" t="n">
        <v>44</v>
      </c>
      <c r="AY7" s="34" t="n">
        <v>26</v>
      </c>
      <c r="AZ7" s="34" t="n">
        <v>46</v>
      </c>
      <c r="BA7" s="34" t="n">
        <v>63</v>
      </c>
      <c r="BB7" s="34" t="n">
        <v>45</v>
      </c>
      <c r="BC7" s="34" t="n">
        <v>56</v>
      </c>
      <c r="BD7" s="34" t="n">
        <v>74</v>
      </c>
      <c r="BE7" s="34" t="n">
        <v>62</v>
      </c>
      <c r="BF7" s="34" t="n">
        <v>50</v>
      </c>
      <c r="BG7" s="34" t="n">
        <v>63</v>
      </c>
      <c r="BH7" s="34" t="n">
        <v>121</v>
      </c>
      <c r="BI7" s="34" t="n">
        <v>107</v>
      </c>
      <c r="BJ7" s="34" t="n">
        <v>228</v>
      </c>
      <c r="BK7" s="34" t="n">
        <v>31</v>
      </c>
      <c r="BL7" s="34" t="n">
        <v>22</v>
      </c>
    </row>
    <row r="8" customFormat="false" ht="15" hidden="false" customHeight="false" outlineLevel="0" collapsed="false">
      <c r="A8" s="12" t="s">
        <v>193</v>
      </c>
      <c r="B8" s="34" t="n">
        <v>4</v>
      </c>
      <c r="C8" s="12" t="s">
        <v>211</v>
      </c>
      <c r="D8" s="12" t="s">
        <v>213</v>
      </c>
      <c r="E8" s="34" t="n">
        <v>319</v>
      </c>
      <c r="F8" s="34" t="n">
        <v>218</v>
      </c>
      <c r="G8" s="34" t="n">
        <v>101</v>
      </c>
      <c r="H8" s="34" t="n">
        <v>162</v>
      </c>
      <c r="I8" s="34" t="n">
        <v>99</v>
      </c>
      <c r="J8" s="34" t="n">
        <v>40</v>
      </c>
      <c r="K8" s="34" t="n">
        <v>59</v>
      </c>
      <c r="L8" s="34" t="n">
        <v>77</v>
      </c>
      <c r="M8" s="34" t="n">
        <v>46</v>
      </c>
      <c r="N8" s="34" t="n">
        <v>1</v>
      </c>
      <c r="O8" s="34" t="n">
        <v>79</v>
      </c>
      <c r="P8" s="34" t="n">
        <v>17</v>
      </c>
      <c r="Q8" s="34" t="n">
        <v>62</v>
      </c>
      <c r="R8" s="34" t="n">
        <v>15</v>
      </c>
      <c r="S8" s="34" t="n">
        <v>9</v>
      </c>
      <c r="T8" s="34" t="n">
        <v>1503</v>
      </c>
      <c r="U8" s="34" t="n">
        <v>47</v>
      </c>
      <c r="V8" s="34" t="n">
        <v>11</v>
      </c>
      <c r="W8" s="34" t="n">
        <v>45</v>
      </c>
      <c r="X8" s="34" t="n">
        <v>10</v>
      </c>
      <c r="Y8" s="34" t="n">
        <v>23</v>
      </c>
      <c r="Z8" s="34" t="n">
        <v>12</v>
      </c>
      <c r="AA8" s="34" t="n">
        <v>46</v>
      </c>
      <c r="AB8" s="34" t="n">
        <v>36</v>
      </c>
      <c r="AC8" s="34" t="n">
        <v>20</v>
      </c>
      <c r="AD8" s="34" t="n">
        <v>8</v>
      </c>
      <c r="AE8" s="34" t="n">
        <v>46</v>
      </c>
      <c r="AF8" s="34" t="n">
        <v>83</v>
      </c>
      <c r="AG8" s="34" t="n">
        <v>6</v>
      </c>
      <c r="AH8" s="34" t="n">
        <v>51</v>
      </c>
      <c r="AI8" s="34" t="n">
        <v>26</v>
      </c>
      <c r="AJ8" s="34" t="n">
        <v>119</v>
      </c>
      <c r="AK8" s="34" t="n">
        <v>38</v>
      </c>
      <c r="AL8" s="34" t="n">
        <v>13</v>
      </c>
      <c r="AM8" s="34" t="n">
        <v>6</v>
      </c>
      <c r="AN8" s="34" t="n">
        <v>25</v>
      </c>
      <c r="AO8" s="34" t="n">
        <v>11</v>
      </c>
      <c r="AP8" s="34" t="n">
        <v>62</v>
      </c>
      <c r="AQ8" s="34" t="n">
        <v>51</v>
      </c>
      <c r="AR8" s="34" t="n">
        <v>12</v>
      </c>
      <c r="AS8" s="34" t="n">
        <v>41</v>
      </c>
      <c r="AT8" s="34" t="n">
        <v>9</v>
      </c>
      <c r="AU8" s="34" t="n">
        <v>12</v>
      </c>
      <c r="AV8" s="34" t="n">
        <v>11</v>
      </c>
      <c r="AW8" s="34" t="n">
        <v>0</v>
      </c>
      <c r="AX8" s="34" t="n">
        <v>50</v>
      </c>
      <c r="AY8" s="34" t="n">
        <v>23</v>
      </c>
      <c r="AZ8" s="34" t="n">
        <v>52</v>
      </c>
      <c r="BA8" s="34" t="n">
        <v>55</v>
      </c>
      <c r="BB8" s="34" t="n">
        <v>43</v>
      </c>
      <c r="BC8" s="34" t="n">
        <v>50</v>
      </c>
      <c r="BD8" s="34" t="n">
        <v>68</v>
      </c>
      <c r="BE8" s="34" t="n">
        <v>51</v>
      </c>
      <c r="BF8" s="34" t="n">
        <v>56</v>
      </c>
      <c r="BG8" s="34" t="n">
        <v>88</v>
      </c>
      <c r="BH8" s="34" t="n">
        <v>108</v>
      </c>
      <c r="BI8" s="34" t="n">
        <v>69</v>
      </c>
      <c r="BJ8" s="34" t="n">
        <v>177</v>
      </c>
      <c r="BK8" s="34" t="n">
        <v>23</v>
      </c>
      <c r="BL8" s="34" t="n">
        <v>20</v>
      </c>
    </row>
    <row r="9" customFormat="false" ht="15" hidden="false" customHeight="false" outlineLevel="0" collapsed="false">
      <c r="A9" s="12" t="s">
        <v>198</v>
      </c>
      <c r="B9" s="34" t="n">
        <v>5</v>
      </c>
      <c r="C9" s="12" t="s">
        <v>211</v>
      </c>
      <c r="D9" s="12" t="s">
        <v>213</v>
      </c>
      <c r="E9" s="34" t="n">
        <v>346</v>
      </c>
      <c r="F9" s="34" t="n">
        <v>217</v>
      </c>
      <c r="G9" s="34" t="n">
        <v>129</v>
      </c>
      <c r="H9" s="34" t="n">
        <v>162</v>
      </c>
      <c r="I9" s="34" t="n">
        <v>99</v>
      </c>
      <c r="J9" s="34" t="n">
        <v>26</v>
      </c>
      <c r="K9" s="34" t="n">
        <v>73</v>
      </c>
      <c r="L9" s="34" t="n">
        <v>73</v>
      </c>
      <c r="M9" s="34" t="n">
        <v>42</v>
      </c>
      <c r="N9" s="34" t="n">
        <v>11</v>
      </c>
      <c r="O9" s="34" t="n">
        <v>86</v>
      </c>
      <c r="P9" s="34" t="n">
        <v>22</v>
      </c>
      <c r="Q9" s="34" t="n">
        <v>64</v>
      </c>
      <c r="R9" s="34" t="n">
        <v>17</v>
      </c>
      <c r="S9" s="34" t="n">
        <v>16</v>
      </c>
      <c r="T9" s="34" t="n">
        <v>1729</v>
      </c>
      <c r="U9" s="34" t="n">
        <v>61</v>
      </c>
      <c r="V9" s="34" t="n">
        <v>13</v>
      </c>
      <c r="W9" s="34" t="n">
        <v>47</v>
      </c>
      <c r="X9" s="34" t="n">
        <v>11</v>
      </c>
      <c r="Y9" s="34" t="n">
        <v>26</v>
      </c>
      <c r="Z9" s="34" t="n">
        <v>10</v>
      </c>
      <c r="AA9" s="34" t="n">
        <v>66</v>
      </c>
      <c r="AB9" s="34" t="n">
        <v>23</v>
      </c>
      <c r="AC9" s="34" t="n">
        <v>16</v>
      </c>
      <c r="AD9" s="34" t="n">
        <v>7</v>
      </c>
      <c r="AE9" s="34" t="n">
        <v>36</v>
      </c>
      <c r="AF9" s="34" t="n">
        <v>64</v>
      </c>
      <c r="AG9" s="34" t="n">
        <v>3</v>
      </c>
      <c r="AH9" s="34" t="n">
        <v>30</v>
      </c>
      <c r="AI9" s="34" t="n">
        <v>31</v>
      </c>
      <c r="AJ9" s="34" t="n">
        <v>175</v>
      </c>
      <c r="AK9" s="34" t="n">
        <v>97</v>
      </c>
      <c r="AL9" s="34" t="n">
        <v>9</v>
      </c>
      <c r="AM9" s="34" t="n">
        <v>7</v>
      </c>
      <c r="AN9" s="34" t="n">
        <v>10</v>
      </c>
      <c r="AO9" s="34" t="n">
        <v>23</v>
      </c>
      <c r="AP9" s="34" t="n">
        <v>62</v>
      </c>
      <c r="AQ9" s="34" t="n">
        <v>48</v>
      </c>
      <c r="AR9" s="34" t="n">
        <v>13</v>
      </c>
      <c r="AS9" s="34" t="n">
        <v>40</v>
      </c>
      <c r="AT9" s="34" t="n">
        <v>9</v>
      </c>
      <c r="AU9" s="34" t="n">
        <v>13</v>
      </c>
      <c r="AV9" s="34" t="n">
        <v>21</v>
      </c>
      <c r="AW9" s="34" t="n">
        <v>1</v>
      </c>
      <c r="AX9" s="34" t="n">
        <v>53</v>
      </c>
      <c r="AY9" s="34" t="n">
        <v>35</v>
      </c>
      <c r="AZ9" s="34" t="n">
        <v>37</v>
      </c>
      <c r="BA9" s="34" t="n">
        <v>68</v>
      </c>
      <c r="BB9" s="34" t="n">
        <v>55</v>
      </c>
      <c r="BC9" s="34" t="n">
        <v>60</v>
      </c>
      <c r="BD9" s="34" t="n">
        <v>82</v>
      </c>
      <c r="BE9" s="34" t="n">
        <v>66</v>
      </c>
      <c r="BF9" s="34" t="n">
        <v>83</v>
      </c>
      <c r="BG9" s="34" t="n">
        <v>86</v>
      </c>
      <c r="BH9" s="34" t="n">
        <v>131</v>
      </c>
      <c r="BI9" s="34" t="n">
        <v>106</v>
      </c>
      <c r="BJ9" s="34" t="n">
        <v>237</v>
      </c>
      <c r="BK9" s="34" t="n">
        <v>31</v>
      </c>
      <c r="BL9" s="34" t="n">
        <v>19</v>
      </c>
    </row>
    <row r="10" customFormat="false" ht="15" hidden="false" customHeight="false" outlineLevel="0" collapsed="false">
      <c r="A10" s="12" t="s">
        <v>195</v>
      </c>
      <c r="B10" s="34" t="n">
        <v>6</v>
      </c>
      <c r="C10" s="12" t="s">
        <v>211</v>
      </c>
      <c r="D10" s="12" t="s">
        <v>213</v>
      </c>
      <c r="E10" s="34" t="n">
        <v>346</v>
      </c>
      <c r="F10" s="34" t="n">
        <v>217</v>
      </c>
      <c r="G10" s="34" t="n">
        <v>129</v>
      </c>
      <c r="H10" s="34" t="n">
        <v>130</v>
      </c>
      <c r="I10" s="34" t="n">
        <v>79</v>
      </c>
      <c r="J10" s="34" t="n">
        <v>28</v>
      </c>
      <c r="K10" s="34" t="n">
        <v>51</v>
      </c>
      <c r="L10" s="34" t="n">
        <v>56</v>
      </c>
      <c r="M10" s="34" t="n">
        <v>46</v>
      </c>
      <c r="N10" s="34" t="n">
        <v>12</v>
      </c>
      <c r="O10" s="34" t="n">
        <v>102</v>
      </c>
      <c r="P10" s="34" t="n">
        <v>13</v>
      </c>
      <c r="Q10" s="34" t="n">
        <v>89</v>
      </c>
      <c r="R10" s="34" t="n">
        <v>16</v>
      </c>
      <c r="S10" s="34" t="n">
        <v>11</v>
      </c>
      <c r="T10" s="34" t="n">
        <v>1650</v>
      </c>
      <c r="U10" s="34" t="n">
        <v>64</v>
      </c>
      <c r="V10" s="34" t="n">
        <v>12</v>
      </c>
      <c r="W10" s="34" t="n">
        <v>49</v>
      </c>
      <c r="X10" s="34" t="n">
        <v>8</v>
      </c>
      <c r="Y10" s="34" t="n">
        <v>25</v>
      </c>
      <c r="Z10" s="34" t="n">
        <v>16</v>
      </c>
      <c r="AA10" s="34" t="n">
        <v>42</v>
      </c>
      <c r="AB10" s="34" t="n">
        <v>34</v>
      </c>
      <c r="AC10" s="34" t="n">
        <v>15</v>
      </c>
      <c r="AD10" s="34" t="n">
        <v>12</v>
      </c>
      <c r="AE10" s="34" t="n">
        <v>35</v>
      </c>
      <c r="AF10" s="34" t="n">
        <v>66</v>
      </c>
      <c r="AG10" s="34" t="n">
        <v>1</v>
      </c>
      <c r="AH10" s="34" t="n">
        <v>44</v>
      </c>
      <c r="AI10" s="34" t="n">
        <v>21</v>
      </c>
      <c r="AJ10" s="34" t="n">
        <v>118</v>
      </c>
      <c r="AK10" s="34" t="n">
        <v>25</v>
      </c>
      <c r="AL10" s="34" t="n">
        <v>6</v>
      </c>
      <c r="AM10" s="34" t="n">
        <v>10</v>
      </c>
      <c r="AN10" s="34" t="n">
        <v>16</v>
      </c>
      <c r="AO10" s="34" t="n">
        <v>2</v>
      </c>
      <c r="AP10" s="34" t="n">
        <v>77</v>
      </c>
      <c r="AQ10" s="34" t="n">
        <v>51</v>
      </c>
      <c r="AR10" s="34" t="n">
        <v>14</v>
      </c>
      <c r="AS10" s="34" t="n">
        <v>56</v>
      </c>
      <c r="AT10" s="34" t="n">
        <v>7</v>
      </c>
      <c r="AU10" s="34" t="n">
        <v>15</v>
      </c>
      <c r="AV10" s="34" t="n">
        <v>6</v>
      </c>
      <c r="AW10" s="34" t="n">
        <v>1</v>
      </c>
      <c r="AX10" s="34" t="n">
        <v>52</v>
      </c>
      <c r="AY10" s="34" t="n">
        <v>22</v>
      </c>
      <c r="AZ10" s="34" t="n">
        <v>68</v>
      </c>
      <c r="BA10" s="34" t="n">
        <v>68</v>
      </c>
      <c r="BB10" s="34" t="n">
        <v>55</v>
      </c>
      <c r="BC10" s="34" t="n">
        <v>65</v>
      </c>
      <c r="BD10" s="34" t="n">
        <v>75</v>
      </c>
      <c r="BE10" s="34" t="n">
        <v>55</v>
      </c>
      <c r="BF10" s="34" t="n">
        <v>47</v>
      </c>
      <c r="BG10" s="34" t="n">
        <v>75</v>
      </c>
      <c r="BH10" s="34" t="n">
        <v>140</v>
      </c>
      <c r="BI10" s="34" t="n">
        <v>97</v>
      </c>
      <c r="BJ10" s="34" t="n">
        <v>237</v>
      </c>
      <c r="BK10" s="34" t="n">
        <v>27</v>
      </c>
      <c r="BL10" s="34" t="n">
        <v>16</v>
      </c>
    </row>
    <row r="11" customFormat="false" ht="15" hidden="false" customHeight="false" outlineLevel="0" collapsed="false">
      <c r="A11" s="12" t="s">
        <v>196</v>
      </c>
      <c r="B11" s="34" t="n">
        <v>7</v>
      </c>
      <c r="C11" s="12" t="s">
        <v>211</v>
      </c>
      <c r="D11" s="12" t="s">
        <v>212</v>
      </c>
      <c r="E11" s="34" t="n">
        <v>365</v>
      </c>
      <c r="F11" s="34" t="n">
        <v>224</v>
      </c>
      <c r="G11" s="34" t="n">
        <v>141</v>
      </c>
      <c r="H11" s="34" t="n">
        <v>177</v>
      </c>
      <c r="I11" s="34" t="n">
        <v>115</v>
      </c>
      <c r="J11" s="34" t="n">
        <v>33</v>
      </c>
      <c r="K11" s="34" t="n">
        <v>82</v>
      </c>
      <c r="L11" s="34" t="n">
        <v>85</v>
      </c>
      <c r="M11" s="34" t="n">
        <v>50</v>
      </c>
      <c r="N11" s="34" t="n">
        <v>7</v>
      </c>
      <c r="O11" s="34" t="n">
        <v>78</v>
      </c>
      <c r="P11" s="34" t="n">
        <v>9</v>
      </c>
      <c r="Q11" s="34" t="n">
        <v>69</v>
      </c>
      <c r="R11" s="34" t="n">
        <v>20</v>
      </c>
      <c r="S11" s="34" t="n">
        <v>10</v>
      </c>
      <c r="T11" s="34" t="n">
        <v>1568</v>
      </c>
      <c r="U11" s="34" t="n">
        <v>28</v>
      </c>
      <c r="V11" s="34" t="n">
        <v>6</v>
      </c>
      <c r="W11" s="34" t="n">
        <v>38</v>
      </c>
      <c r="X11" s="34" t="n">
        <v>10</v>
      </c>
      <c r="Y11" s="34" t="n">
        <v>17</v>
      </c>
      <c r="Z11" s="34" t="n">
        <v>11</v>
      </c>
      <c r="AA11" s="34" t="n">
        <v>42</v>
      </c>
      <c r="AB11" s="34" t="n">
        <v>46</v>
      </c>
      <c r="AC11" s="34" t="n">
        <v>22</v>
      </c>
      <c r="AD11" s="34" t="n">
        <v>14</v>
      </c>
      <c r="AE11" s="34" t="n">
        <v>46</v>
      </c>
      <c r="AF11" s="34" t="n">
        <v>93</v>
      </c>
      <c r="AG11" s="34" t="n">
        <v>12</v>
      </c>
      <c r="AH11" s="34" t="n">
        <v>58</v>
      </c>
      <c r="AI11" s="34" t="n">
        <v>23</v>
      </c>
      <c r="AJ11" s="34" t="n">
        <v>134</v>
      </c>
      <c r="AK11" s="34" t="n">
        <v>46</v>
      </c>
      <c r="AL11" s="34" t="n">
        <v>13</v>
      </c>
      <c r="AM11" s="34" t="n">
        <v>12</v>
      </c>
      <c r="AN11" s="34" t="n">
        <v>17</v>
      </c>
      <c r="AO11" s="34" t="n">
        <v>7</v>
      </c>
      <c r="AP11" s="34" t="n">
        <v>63</v>
      </c>
      <c r="AQ11" s="34" t="n">
        <v>41</v>
      </c>
      <c r="AR11" s="34" t="n">
        <v>10</v>
      </c>
      <c r="AS11" s="34" t="n">
        <v>39</v>
      </c>
      <c r="AT11" s="34" t="n">
        <v>14</v>
      </c>
      <c r="AU11" s="34" t="n">
        <v>8</v>
      </c>
      <c r="AV11" s="34" t="n">
        <v>10</v>
      </c>
      <c r="AW11" s="34" t="n">
        <v>0</v>
      </c>
      <c r="AX11" s="34" t="n">
        <v>42</v>
      </c>
      <c r="AY11" s="34" t="n">
        <v>18</v>
      </c>
      <c r="AZ11" s="34" t="n">
        <v>44</v>
      </c>
      <c r="BA11" s="34" t="n">
        <v>71</v>
      </c>
      <c r="BB11" s="34" t="n">
        <v>67</v>
      </c>
      <c r="BC11" s="34" t="n">
        <v>64</v>
      </c>
      <c r="BD11" s="34" t="n">
        <v>80</v>
      </c>
      <c r="BE11" s="34" t="n">
        <v>76</v>
      </c>
      <c r="BF11" s="34" t="n">
        <v>72</v>
      </c>
      <c r="BG11" s="34" t="n">
        <v>86</v>
      </c>
      <c r="BH11" s="34" t="n">
        <v>144</v>
      </c>
      <c r="BI11" s="34" t="n">
        <v>114</v>
      </c>
      <c r="BJ11" s="34" t="n">
        <v>258</v>
      </c>
      <c r="BK11" s="34" t="n">
        <v>29</v>
      </c>
      <c r="BL11" s="34" t="n">
        <v>33</v>
      </c>
    </row>
    <row r="12" customFormat="false" ht="15" hidden="false" customHeight="false" outlineLevel="0" collapsed="false">
      <c r="A12" s="12" t="s">
        <v>194</v>
      </c>
      <c r="B12" s="34" t="n">
        <v>8</v>
      </c>
      <c r="C12" s="12" t="s">
        <v>211</v>
      </c>
      <c r="D12" s="12" t="s">
        <v>213</v>
      </c>
      <c r="E12" s="34" t="n">
        <v>330</v>
      </c>
      <c r="F12" s="34" t="n">
        <v>193</v>
      </c>
      <c r="G12" s="34" t="n">
        <v>137</v>
      </c>
      <c r="H12" s="34" t="n">
        <v>150</v>
      </c>
      <c r="I12" s="34" t="n">
        <v>92</v>
      </c>
      <c r="J12" s="34" t="n">
        <v>37</v>
      </c>
      <c r="K12" s="34" t="n">
        <v>55</v>
      </c>
      <c r="L12" s="34" t="n">
        <v>72</v>
      </c>
      <c r="M12" s="34" t="n">
        <v>55</v>
      </c>
      <c r="N12" s="34" t="n">
        <v>6</v>
      </c>
      <c r="O12" s="34" t="n">
        <v>68</v>
      </c>
      <c r="P12" s="34" t="n">
        <v>15</v>
      </c>
      <c r="Q12" s="34" t="n">
        <v>53</v>
      </c>
      <c r="R12" s="34" t="n">
        <v>13</v>
      </c>
      <c r="S12" s="34" t="n">
        <v>9</v>
      </c>
      <c r="T12" s="34" t="n">
        <v>1404</v>
      </c>
      <c r="U12" s="34" t="n">
        <v>34</v>
      </c>
      <c r="V12" s="34" t="n">
        <v>4</v>
      </c>
      <c r="W12" s="34" t="n">
        <v>41</v>
      </c>
      <c r="X12" s="34" t="n">
        <v>7</v>
      </c>
      <c r="Y12" s="34" t="n">
        <v>19</v>
      </c>
      <c r="Z12" s="34" t="n">
        <v>15</v>
      </c>
      <c r="AA12" s="34" t="n">
        <v>48</v>
      </c>
      <c r="AB12" s="34" t="n">
        <v>29</v>
      </c>
      <c r="AC12" s="34" t="n">
        <v>18</v>
      </c>
      <c r="AD12" s="34" t="n">
        <v>10</v>
      </c>
      <c r="AE12" s="34" t="n">
        <v>42</v>
      </c>
      <c r="AF12" s="34" t="n">
        <v>72</v>
      </c>
      <c r="AG12" s="34" t="n">
        <v>9</v>
      </c>
      <c r="AH12" s="34" t="n">
        <v>38</v>
      </c>
      <c r="AI12" s="34" t="n">
        <v>25</v>
      </c>
      <c r="AJ12" s="34" t="n">
        <v>109</v>
      </c>
      <c r="AK12" s="34" t="n">
        <v>43</v>
      </c>
      <c r="AL12" s="34" t="n">
        <v>10</v>
      </c>
      <c r="AM12" s="34" t="n">
        <v>2</v>
      </c>
      <c r="AN12" s="34" t="n">
        <v>26</v>
      </c>
      <c r="AO12" s="34" t="n">
        <v>6</v>
      </c>
      <c r="AP12" s="34" t="n">
        <v>54</v>
      </c>
      <c r="AQ12" s="34" t="n">
        <v>41</v>
      </c>
      <c r="AR12" s="34" t="n">
        <v>9</v>
      </c>
      <c r="AS12" s="34" t="n">
        <v>37</v>
      </c>
      <c r="AT12" s="34" t="n">
        <v>8</v>
      </c>
      <c r="AU12" s="34" t="n">
        <v>11</v>
      </c>
      <c r="AV12" s="34" t="n">
        <v>12</v>
      </c>
      <c r="AW12" s="34" t="n">
        <v>2</v>
      </c>
      <c r="AX12" s="34" t="n">
        <v>52</v>
      </c>
      <c r="AY12" s="34" t="n">
        <v>25</v>
      </c>
      <c r="AZ12" s="34" t="n">
        <v>44</v>
      </c>
      <c r="BA12" s="34" t="n">
        <v>61</v>
      </c>
      <c r="BB12" s="34" t="n">
        <v>38</v>
      </c>
      <c r="BC12" s="34" t="n">
        <v>50</v>
      </c>
      <c r="BD12" s="34" t="n">
        <v>75</v>
      </c>
      <c r="BE12" s="34" t="n">
        <v>56</v>
      </c>
      <c r="BF12" s="34" t="n">
        <v>59</v>
      </c>
      <c r="BG12" s="34" t="n">
        <v>70</v>
      </c>
      <c r="BH12" s="34" t="n">
        <v>96</v>
      </c>
      <c r="BI12" s="34" t="n">
        <v>104</v>
      </c>
      <c r="BJ12" s="34" t="n">
        <v>200</v>
      </c>
      <c r="BK12" s="34" t="n">
        <v>23</v>
      </c>
      <c r="BL12" s="34" t="n">
        <v>17</v>
      </c>
    </row>
    <row r="13" customFormat="false" ht="15" hidden="false" customHeight="false" outlineLevel="0" collapsed="false">
      <c r="A13" s="12" t="s">
        <v>201</v>
      </c>
      <c r="B13" s="34" t="n">
        <v>9</v>
      </c>
      <c r="C13" s="12" t="s">
        <v>211</v>
      </c>
      <c r="D13" s="12" t="s">
        <v>213</v>
      </c>
      <c r="E13" s="34" t="n">
        <v>430</v>
      </c>
      <c r="F13" s="34" t="n">
        <v>256</v>
      </c>
      <c r="G13" s="34" t="n">
        <v>174</v>
      </c>
      <c r="H13" s="34" t="n">
        <v>136</v>
      </c>
      <c r="I13" s="34" t="n">
        <v>99</v>
      </c>
      <c r="J13" s="34" t="n">
        <v>44</v>
      </c>
      <c r="K13" s="34" t="n">
        <v>55</v>
      </c>
      <c r="L13" s="34" t="n">
        <v>88</v>
      </c>
      <c r="M13" s="34" t="n">
        <v>52</v>
      </c>
      <c r="N13" s="34" t="n">
        <v>11</v>
      </c>
      <c r="O13" s="34" t="n">
        <v>126</v>
      </c>
      <c r="P13" s="34" t="n">
        <v>13</v>
      </c>
      <c r="Q13" s="34" t="n">
        <v>113</v>
      </c>
      <c r="R13" s="34" t="n">
        <v>16</v>
      </c>
      <c r="S13" s="34" t="n">
        <v>24</v>
      </c>
      <c r="T13" s="34" t="n">
        <v>1990</v>
      </c>
      <c r="U13" s="34" t="n">
        <v>47</v>
      </c>
      <c r="V13" s="34" t="n">
        <v>12</v>
      </c>
      <c r="W13" s="34" t="n">
        <v>36</v>
      </c>
      <c r="X13" s="34" t="n">
        <v>9</v>
      </c>
      <c r="Y13" s="34" t="n">
        <v>13</v>
      </c>
      <c r="Z13" s="34" t="n">
        <v>14</v>
      </c>
      <c r="AA13" s="34" t="n">
        <v>69</v>
      </c>
      <c r="AB13" s="34" t="n">
        <v>27</v>
      </c>
      <c r="AC13" s="34" t="n">
        <v>14</v>
      </c>
      <c r="AD13" s="34" t="n">
        <v>3</v>
      </c>
      <c r="AE13" s="34" t="n">
        <v>54</v>
      </c>
      <c r="AF13" s="34" t="n">
        <v>69</v>
      </c>
      <c r="AG13" s="34" t="n">
        <v>3</v>
      </c>
      <c r="AH13" s="34" t="n">
        <v>27</v>
      </c>
      <c r="AI13" s="34" t="n">
        <v>39</v>
      </c>
      <c r="AJ13" s="34" t="n">
        <v>118</v>
      </c>
      <c r="AK13" s="34" t="n">
        <v>42</v>
      </c>
      <c r="AL13" s="34" t="n">
        <v>11</v>
      </c>
      <c r="AM13" s="34" t="n">
        <v>4</v>
      </c>
      <c r="AN13" s="34" t="n">
        <v>29</v>
      </c>
      <c r="AO13" s="34" t="n">
        <v>11</v>
      </c>
      <c r="AP13" s="34" t="n">
        <v>61</v>
      </c>
      <c r="AQ13" s="34" t="n">
        <v>51</v>
      </c>
      <c r="AR13" s="34" t="n">
        <v>13</v>
      </c>
      <c r="AS13" s="34" t="n">
        <v>41</v>
      </c>
      <c r="AT13" s="34" t="n">
        <v>7</v>
      </c>
      <c r="AU13" s="34" t="n">
        <v>18</v>
      </c>
      <c r="AV13" s="34" t="n">
        <v>17</v>
      </c>
      <c r="AW13" s="34" t="n">
        <v>0</v>
      </c>
      <c r="AX13" s="34" t="n">
        <v>50</v>
      </c>
      <c r="AY13" s="34" t="n">
        <v>35</v>
      </c>
      <c r="AZ13" s="34" t="n">
        <v>51</v>
      </c>
      <c r="BA13" s="34" t="n">
        <v>74</v>
      </c>
      <c r="BB13" s="34" t="n">
        <v>57</v>
      </c>
      <c r="BC13" s="34" t="n">
        <v>65</v>
      </c>
      <c r="BD13" s="34" t="n">
        <v>87</v>
      </c>
      <c r="BE13" s="34" t="n">
        <v>69</v>
      </c>
      <c r="BF13" s="34" t="n">
        <v>63</v>
      </c>
      <c r="BG13" s="34" t="n">
        <v>67</v>
      </c>
      <c r="BH13" s="34" t="n">
        <v>166</v>
      </c>
      <c r="BI13" s="34" t="n">
        <v>152</v>
      </c>
      <c r="BJ13" s="34" t="n">
        <v>318</v>
      </c>
      <c r="BK13" s="34" t="n">
        <v>25</v>
      </c>
      <c r="BL13" s="34" t="n">
        <v>17</v>
      </c>
    </row>
    <row r="14" customFormat="false" ht="15" hidden="false" customHeight="false" outlineLevel="0" collapsed="false">
      <c r="A14" s="12" t="s">
        <v>200</v>
      </c>
      <c r="B14" s="34" t="n">
        <v>10</v>
      </c>
      <c r="C14" s="12" t="s">
        <v>211</v>
      </c>
      <c r="D14" s="12" t="s">
        <v>213</v>
      </c>
      <c r="E14" s="34" t="n">
        <v>439</v>
      </c>
      <c r="F14" s="34" t="n">
        <v>260</v>
      </c>
      <c r="G14" s="34" t="n">
        <v>179</v>
      </c>
      <c r="H14" s="34" t="n">
        <v>170</v>
      </c>
      <c r="I14" s="34" t="n">
        <v>115</v>
      </c>
      <c r="J14" s="34" t="n">
        <v>38</v>
      </c>
      <c r="K14" s="34" t="n">
        <v>77</v>
      </c>
      <c r="L14" s="34" t="n">
        <v>71</v>
      </c>
      <c r="M14" s="34" t="n">
        <v>31</v>
      </c>
      <c r="N14" s="34" t="n">
        <v>13</v>
      </c>
      <c r="O14" s="34" t="n">
        <v>146</v>
      </c>
      <c r="P14" s="34" t="n">
        <v>31</v>
      </c>
      <c r="Q14" s="34" t="n">
        <v>115</v>
      </c>
      <c r="R14" s="34" t="n">
        <v>22</v>
      </c>
      <c r="S14" s="34" t="n">
        <v>24</v>
      </c>
      <c r="T14" s="34" t="n">
        <v>2050</v>
      </c>
      <c r="U14" s="34" t="n">
        <v>64</v>
      </c>
      <c r="V14" s="34" t="n">
        <v>12</v>
      </c>
      <c r="W14" s="34" t="n">
        <v>41</v>
      </c>
      <c r="X14" s="34" t="n">
        <v>13</v>
      </c>
      <c r="Y14" s="34" t="n">
        <v>18</v>
      </c>
      <c r="Z14" s="34" t="n">
        <v>10</v>
      </c>
      <c r="AA14" s="34" t="n">
        <v>58</v>
      </c>
      <c r="AB14" s="34" t="n">
        <v>26</v>
      </c>
      <c r="AC14" s="34" t="n">
        <v>8</v>
      </c>
      <c r="AD14" s="34" t="n">
        <v>8</v>
      </c>
      <c r="AE14" s="34" t="n">
        <v>42</v>
      </c>
      <c r="AF14" s="34" t="n">
        <v>75</v>
      </c>
      <c r="AG14" s="34" t="n">
        <v>3</v>
      </c>
      <c r="AH14" s="34" t="n">
        <v>41</v>
      </c>
      <c r="AI14" s="34" t="n">
        <v>31</v>
      </c>
      <c r="AJ14" s="34" t="n">
        <v>125</v>
      </c>
      <c r="AK14" s="34" t="n">
        <v>42</v>
      </c>
      <c r="AL14" s="34" t="n">
        <v>17</v>
      </c>
      <c r="AM14" s="34" t="n">
        <v>9</v>
      </c>
      <c r="AN14" s="34" t="n">
        <v>10</v>
      </c>
      <c r="AO14" s="34" t="n">
        <v>9</v>
      </c>
      <c r="AP14" s="34" t="n">
        <v>57</v>
      </c>
      <c r="AQ14" s="34" t="n">
        <v>45</v>
      </c>
      <c r="AR14" s="34" t="n">
        <v>10</v>
      </c>
      <c r="AS14" s="34" t="n">
        <v>43</v>
      </c>
      <c r="AT14" s="34" t="n">
        <v>4</v>
      </c>
      <c r="AU14" s="34" t="n">
        <v>19</v>
      </c>
      <c r="AV14" s="34" t="n">
        <v>9</v>
      </c>
      <c r="AW14" s="34" t="n">
        <v>1</v>
      </c>
      <c r="AX14" s="34" t="n">
        <v>50</v>
      </c>
      <c r="AY14" s="34" t="n">
        <v>29</v>
      </c>
      <c r="AZ14" s="34" t="n">
        <v>65</v>
      </c>
      <c r="BA14" s="34" t="n">
        <v>77</v>
      </c>
      <c r="BB14" s="34" t="n">
        <v>52</v>
      </c>
      <c r="BC14" s="34" t="n">
        <v>72</v>
      </c>
      <c r="BD14" s="34" t="n">
        <v>84</v>
      </c>
      <c r="BE14" s="34" t="n">
        <v>56</v>
      </c>
      <c r="BF14" s="34" t="n">
        <v>58</v>
      </c>
      <c r="BG14" s="34" t="n">
        <v>88</v>
      </c>
      <c r="BH14" s="34" t="n">
        <v>188</v>
      </c>
      <c r="BI14" s="34" t="n">
        <v>152</v>
      </c>
      <c r="BJ14" s="34" t="n">
        <v>340</v>
      </c>
      <c r="BK14" s="34" t="n">
        <v>23</v>
      </c>
      <c r="BL14" s="34" t="n">
        <v>15</v>
      </c>
    </row>
    <row r="15" customFormat="false" ht="15" hidden="false" customHeight="false" outlineLevel="0" collapsed="false">
      <c r="A15" s="12" t="s">
        <v>199</v>
      </c>
      <c r="B15" s="34" t="n">
        <v>11</v>
      </c>
      <c r="C15" s="12" t="s">
        <v>211</v>
      </c>
      <c r="D15" s="12" t="s">
        <v>213</v>
      </c>
      <c r="E15" s="34" t="n">
        <v>380</v>
      </c>
      <c r="F15" s="34" t="n">
        <v>237</v>
      </c>
      <c r="G15" s="34" t="n">
        <v>143</v>
      </c>
      <c r="H15" s="34" t="n">
        <v>175</v>
      </c>
      <c r="I15" s="34" t="n">
        <v>126</v>
      </c>
      <c r="J15" s="34" t="n">
        <v>50</v>
      </c>
      <c r="K15" s="34" t="n">
        <v>76</v>
      </c>
      <c r="L15" s="34" t="n">
        <v>81</v>
      </c>
      <c r="M15" s="34" t="n">
        <v>45</v>
      </c>
      <c r="N15" s="34" t="n">
        <v>10</v>
      </c>
      <c r="O15" s="34" t="n">
        <v>94</v>
      </c>
      <c r="P15" s="34" t="n">
        <v>12</v>
      </c>
      <c r="Q15" s="34" t="n">
        <v>82</v>
      </c>
      <c r="R15" s="34" t="n">
        <v>16</v>
      </c>
      <c r="S15" s="34" t="n">
        <v>11</v>
      </c>
      <c r="T15" s="34" t="n">
        <v>1747</v>
      </c>
      <c r="U15" s="34" t="n">
        <v>45</v>
      </c>
      <c r="V15" s="34" t="n">
        <v>13</v>
      </c>
      <c r="W15" s="34" t="n">
        <v>52</v>
      </c>
      <c r="X15" s="34" t="n">
        <v>5</v>
      </c>
      <c r="Y15" s="34" t="n">
        <v>23</v>
      </c>
      <c r="Z15" s="34" t="n">
        <v>24</v>
      </c>
      <c r="AA15" s="34" t="n">
        <v>53</v>
      </c>
      <c r="AB15" s="34" t="n">
        <v>45</v>
      </c>
      <c r="AC15" s="34" t="n">
        <v>15</v>
      </c>
      <c r="AD15" s="34" t="n">
        <v>10</v>
      </c>
      <c r="AE15" s="34" t="n">
        <v>40</v>
      </c>
      <c r="AF15" s="34" t="n">
        <v>84</v>
      </c>
      <c r="AG15" s="34" t="n">
        <v>6</v>
      </c>
      <c r="AH15" s="34" t="n">
        <v>50</v>
      </c>
      <c r="AI15" s="34" t="n">
        <v>28</v>
      </c>
      <c r="AJ15" s="34" t="n">
        <v>129</v>
      </c>
      <c r="AK15" s="34" t="n">
        <v>49</v>
      </c>
      <c r="AL15" s="34" t="n">
        <v>6</v>
      </c>
      <c r="AM15" s="34" t="n">
        <v>6</v>
      </c>
      <c r="AN15" s="34" t="n">
        <v>19</v>
      </c>
      <c r="AO15" s="34" t="n">
        <v>13</v>
      </c>
      <c r="AP15" s="34" t="n">
        <v>68</v>
      </c>
      <c r="AQ15" s="34" t="n">
        <v>59</v>
      </c>
      <c r="AR15" s="34" t="n">
        <v>13</v>
      </c>
      <c r="AS15" s="34" t="n">
        <v>41</v>
      </c>
      <c r="AT15" s="34" t="n">
        <v>14</v>
      </c>
      <c r="AU15" s="34" t="n">
        <v>10</v>
      </c>
      <c r="AV15" s="34" t="n">
        <v>19</v>
      </c>
      <c r="AW15" s="34" t="n">
        <v>1</v>
      </c>
      <c r="AX15" s="34" t="n">
        <v>56</v>
      </c>
      <c r="AY15" s="34" t="n">
        <v>30</v>
      </c>
      <c r="AZ15" s="34" t="n">
        <v>33</v>
      </c>
      <c r="BA15" s="34" t="n">
        <v>63</v>
      </c>
      <c r="BB15" s="34" t="n">
        <v>51</v>
      </c>
      <c r="BC15" s="34" t="n">
        <v>56</v>
      </c>
      <c r="BD15" s="34" t="n">
        <v>75</v>
      </c>
      <c r="BE15" s="34" t="n">
        <v>62</v>
      </c>
      <c r="BF15" s="34" t="n">
        <v>53</v>
      </c>
      <c r="BG15" s="34" t="n">
        <v>50</v>
      </c>
      <c r="BH15" s="34" t="n">
        <v>133</v>
      </c>
      <c r="BI15" s="34" t="n">
        <v>108</v>
      </c>
      <c r="BJ15" s="34" t="n">
        <v>241</v>
      </c>
      <c r="BK15" s="34" t="n">
        <v>32</v>
      </c>
      <c r="BL15" s="34" t="n">
        <v>24</v>
      </c>
    </row>
    <row r="16" customFormat="false" ht="15" hidden="false" customHeight="false" outlineLevel="0" collapsed="false">
      <c r="A16" s="12" t="s">
        <v>202</v>
      </c>
      <c r="B16" s="34" t="n">
        <v>12</v>
      </c>
      <c r="C16" s="12" t="s">
        <v>211</v>
      </c>
      <c r="D16" s="12" t="s">
        <v>213</v>
      </c>
      <c r="E16" s="34" t="n">
        <v>360</v>
      </c>
      <c r="F16" s="34" t="n">
        <v>218</v>
      </c>
      <c r="G16" s="34" t="n">
        <v>142</v>
      </c>
      <c r="H16" s="34" t="n">
        <v>130</v>
      </c>
      <c r="I16" s="34" t="n">
        <v>83</v>
      </c>
      <c r="J16" s="34" t="n">
        <v>29</v>
      </c>
      <c r="K16" s="34" t="n">
        <v>54</v>
      </c>
      <c r="L16" s="34" t="n">
        <v>73</v>
      </c>
      <c r="M16" s="34" t="n">
        <v>46</v>
      </c>
      <c r="N16" s="34" t="n">
        <v>13</v>
      </c>
      <c r="O16" s="34" t="n">
        <v>94</v>
      </c>
      <c r="P16" s="34" t="n">
        <v>11</v>
      </c>
      <c r="Q16" s="34" t="n">
        <v>83</v>
      </c>
      <c r="R16" s="34" t="n">
        <v>10</v>
      </c>
      <c r="S16" s="34" t="n">
        <v>12</v>
      </c>
      <c r="T16" s="34" t="n">
        <v>1484</v>
      </c>
      <c r="U16" s="34" t="n">
        <v>24</v>
      </c>
      <c r="V16" s="34" t="n">
        <v>4</v>
      </c>
      <c r="W16" s="34" t="n">
        <v>35</v>
      </c>
      <c r="X16" s="34" t="n">
        <v>9</v>
      </c>
      <c r="Y16" s="34" t="n">
        <v>16</v>
      </c>
      <c r="Z16" s="34" t="n">
        <v>10</v>
      </c>
      <c r="AA16" s="34" t="n">
        <v>56</v>
      </c>
      <c r="AB16" s="34" t="n">
        <v>29</v>
      </c>
      <c r="AC16" s="34" t="n">
        <v>25</v>
      </c>
      <c r="AD16" s="34" t="n">
        <v>10</v>
      </c>
      <c r="AE16" s="34" t="n">
        <v>42</v>
      </c>
      <c r="AF16" s="34" t="n">
        <v>76</v>
      </c>
      <c r="AG16" s="34" t="n">
        <v>5</v>
      </c>
      <c r="AH16" s="34" t="n">
        <v>39</v>
      </c>
      <c r="AI16" s="34" t="n">
        <v>32</v>
      </c>
      <c r="AJ16" s="34" t="n">
        <v>108</v>
      </c>
      <c r="AK16" s="34" t="n">
        <v>44</v>
      </c>
      <c r="AL16" s="34" t="n">
        <v>10</v>
      </c>
      <c r="AM16" s="34" t="n">
        <v>4</v>
      </c>
      <c r="AN16" s="34" t="n">
        <v>22</v>
      </c>
      <c r="AO16" s="34" t="n">
        <v>6</v>
      </c>
      <c r="AP16" s="34" t="n">
        <v>50</v>
      </c>
      <c r="AQ16" s="34" t="n">
        <v>38</v>
      </c>
      <c r="AR16" s="34" t="n">
        <v>10</v>
      </c>
      <c r="AS16" s="34" t="n">
        <v>31</v>
      </c>
      <c r="AT16" s="34" t="n">
        <v>9</v>
      </c>
      <c r="AU16" s="34" t="n">
        <v>11</v>
      </c>
      <c r="AV16" s="34" t="n">
        <v>9</v>
      </c>
      <c r="AW16" s="34" t="n">
        <v>0</v>
      </c>
      <c r="AX16" s="34" t="n">
        <v>35</v>
      </c>
      <c r="AY16" s="34" t="n">
        <v>20</v>
      </c>
      <c r="AZ16" s="34" t="n">
        <v>55</v>
      </c>
      <c r="BA16" s="34" t="n">
        <v>69</v>
      </c>
      <c r="BB16" s="34" t="n">
        <v>43</v>
      </c>
      <c r="BC16" s="34" t="n">
        <v>60</v>
      </c>
      <c r="BD16" s="34" t="n">
        <v>81</v>
      </c>
      <c r="BE16" s="34" t="n">
        <v>69</v>
      </c>
      <c r="BF16" s="34" t="n">
        <v>76</v>
      </c>
      <c r="BG16" s="34" t="n">
        <v>100</v>
      </c>
      <c r="BH16" s="34" t="n">
        <v>131</v>
      </c>
      <c r="BI16" s="34" t="n">
        <v>116</v>
      </c>
      <c r="BJ16" s="34" t="n">
        <v>247</v>
      </c>
      <c r="BK16" s="34" t="n">
        <v>24</v>
      </c>
      <c r="BL16" s="34" t="n">
        <v>22</v>
      </c>
    </row>
    <row r="17" customFormat="false" ht="15" hidden="false" customHeight="false" outlineLevel="0" collapsed="false">
      <c r="A17" s="12" t="s">
        <v>203</v>
      </c>
      <c r="B17" s="34" t="n">
        <v>13</v>
      </c>
      <c r="C17" s="12" t="s">
        <v>211</v>
      </c>
      <c r="D17" s="12" t="s">
        <v>213</v>
      </c>
      <c r="E17" s="34" t="n">
        <v>409</v>
      </c>
      <c r="F17" s="34" t="n">
        <v>247</v>
      </c>
      <c r="G17" s="34" t="n">
        <v>162</v>
      </c>
      <c r="H17" s="34" t="n">
        <v>172</v>
      </c>
      <c r="I17" s="34" t="n">
        <v>103</v>
      </c>
      <c r="J17" s="34" t="n">
        <v>27</v>
      </c>
      <c r="K17" s="34" t="n">
        <v>76</v>
      </c>
      <c r="L17" s="34" t="n">
        <v>65</v>
      </c>
      <c r="M17" s="34" t="n">
        <v>49</v>
      </c>
      <c r="N17" s="34" t="n">
        <v>8</v>
      </c>
      <c r="O17" s="34" t="n">
        <v>123</v>
      </c>
      <c r="P17" s="34" t="n">
        <v>24</v>
      </c>
      <c r="Q17" s="34" t="n">
        <v>99</v>
      </c>
      <c r="R17" s="34" t="n">
        <v>14</v>
      </c>
      <c r="S17" s="34" t="n">
        <v>20</v>
      </c>
      <c r="T17" s="34" t="n">
        <v>2015</v>
      </c>
      <c r="U17" s="34" t="n">
        <v>43</v>
      </c>
      <c r="V17" s="34" t="n">
        <v>14</v>
      </c>
      <c r="W17" s="34" t="n">
        <v>49</v>
      </c>
      <c r="X17" s="34" t="n">
        <v>15</v>
      </c>
      <c r="Y17" s="34" t="n">
        <v>23</v>
      </c>
      <c r="Z17" s="34" t="n">
        <v>11</v>
      </c>
      <c r="AA17" s="34" t="n">
        <v>62</v>
      </c>
      <c r="AB17" s="34" t="n">
        <v>26</v>
      </c>
      <c r="AC17" s="34" t="n">
        <v>13</v>
      </c>
      <c r="AD17" s="34" t="n">
        <v>6</v>
      </c>
      <c r="AE17" s="34" t="n">
        <v>40</v>
      </c>
      <c r="AF17" s="34" t="n">
        <v>67</v>
      </c>
      <c r="AG17" s="34" t="n">
        <v>2</v>
      </c>
      <c r="AH17" s="34" t="n">
        <v>44</v>
      </c>
      <c r="AI17" s="34" t="n">
        <v>21</v>
      </c>
      <c r="AJ17" s="34" t="n">
        <v>124</v>
      </c>
      <c r="AK17" s="34" t="n">
        <v>40</v>
      </c>
      <c r="AL17" s="34" t="n">
        <v>3</v>
      </c>
      <c r="AM17" s="34" t="n">
        <v>7</v>
      </c>
      <c r="AN17" s="34" t="n">
        <v>15</v>
      </c>
      <c r="AO17" s="34" t="n">
        <v>7</v>
      </c>
      <c r="AP17" s="34" t="n">
        <v>74</v>
      </c>
      <c r="AQ17" s="34" t="n">
        <v>68</v>
      </c>
      <c r="AR17" s="34" t="n">
        <v>17</v>
      </c>
      <c r="AS17" s="34" t="n">
        <v>37</v>
      </c>
      <c r="AT17" s="34" t="n">
        <v>20</v>
      </c>
      <c r="AU17" s="34" t="n">
        <v>19</v>
      </c>
      <c r="AV17" s="34" t="n">
        <v>14</v>
      </c>
      <c r="AW17" s="34" t="n">
        <v>2</v>
      </c>
      <c r="AX17" s="34" t="n">
        <v>56</v>
      </c>
      <c r="AY17" s="34" t="n">
        <v>35</v>
      </c>
      <c r="AZ17" s="34" t="n">
        <v>54</v>
      </c>
      <c r="BA17" s="34" t="n">
        <v>74</v>
      </c>
      <c r="BB17" s="34" t="n">
        <v>58</v>
      </c>
      <c r="BC17" s="34" t="n">
        <v>70</v>
      </c>
      <c r="BD17" s="34" t="n">
        <v>80</v>
      </c>
      <c r="BE17" s="34" t="n">
        <v>69</v>
      </c>
      <c r="BF17" s="34" t="n">
        <v>73</v>
      </c>
      <c r="BG17" s="34" t="n">
        <v>83</v>
      </c>
      <c r="BH17" s="34" t="n">
        <v>172</v>
      </c>
      <c r="BI17" s="34" t="n">
        <v>131</v>
      </c>
      <c r="BJ17" s="34" t="n">
        <v>303</v>
      </c>
      <c r="BK17" s="34" t="n">
        <v>34</v>
      </c>
      <c r="BL17" s="34" t="n">
        <v>19</v>
      </c>
    </row>
    <row r="18" customFormat="false" ht="15" hidden="false" customHeight="false" outlineLevel="0" collapsed="false">
      <c r="A18" s="12" t="s">
        <v>197</v>
      </c>
      <c r="B18" s="34" t="n">
        <v>14</v>
      </c>
      <c r="C18" s="12" t="s">
        <v>211</v>
      </c>
      <c r="D18" s="12" t="s">
        <v>213</v>
      </c>
      <c r="E18" s="34" t="n">
        <v>364</v>
      </c>
      <c r="F18" s="34" t="n">
        <v>244</v>
      </c>
      <c r="G18" s="34" t="n">
        <v>120</v>
      </c>
      <c r="H18" s="34" t="n">
        <v>152</v>
      </c>
      <c r="I18" s="34" t="n">
        <v>93</v>
      </c>
      <c r="J18" s="34" t="n">
        <v>32</v>
      </c>
      <c r="K18" s="34" t="n">
        <v>61</v>
      </c>
      <c r="L18" s="34" t="n">
        <v>85</v>
      </c>
      <c r="M18" s="34" t="n">
        <v>47</v>
      </c>
      <c r="N18" s="34" t="n">
        <v>5</v>
      </c>
      <c r="O18" s="34" t="n">
        <v>111</v>
      </c>
      <c r="P18" s="34" t="n">
        <v>14</v>
      </c>
      <c r="Q18" s="34" t="n">
        <v>97</v>
      </c>
      <c r="R18" s="34" t="n">
        <v>21</v>
      </c>
      <c r="S18" s="34" t="n">
        <v>12</v>
      </c>
      <c r="T18" s="34" t="n">
        <v>1744</v>
      </c>
      <c r="U18" s="34" t="n">
        <v>41</v>
      </c>
      <c r="V18" s="34" t="n">
        <v>6</v>
      </c>
      <c r="W18" s="34" t="n">
        <v>37</v>
      </c>
      <c r="X18" s="34" t="n">
        <v>5</v>
      </c>
      <c r="Y18" s="34" t="n">
        <v>23</v>
      </c>
      <c r="Z18" s="34" t="n">
        <v>9</v>
      </c>
      <c r="AA18" s="34" t="n">
        <v>46</v>
      </c>
      <c r="AB18" s="34" t="n">
        <v>45</v>
      </c>
      <c r="AC18" s="34" t="n">
        <v>22</v>
      </c>
      <c r="AD18" s="34" t="n">
        <v>17</v>
      </c>
      <c r="AE18" s="34" t="n">
        <v>50</v>
      </c>
      <c r="AF18" s="34" t="n">
        <v>80</v>
      </c>
      <c r="AG18" s="34" t="n">
        <v>6</v>
      </c>
      <c r="AH18" s="34" t="n">
        <v>50</v>
      </c>
      <c r="AI18" s="34" t="n">
        <v>24</v>
      </c>
      <c r="AJ18" s="34" t="n">
        <v>148</v>
      </c>
      <c r="AK18" s="34" t="n">
        <v>49</v>
      </c>
      <c r="AL18" s="34" t="n">
        <v>8</v>
      </c>
      <c r="AM18" s="34" t="n">
        <v>5</v>
      </c>
      <c r="AN18" s="34" t="n">
        <v>22</v>
      </c>
      <c r="AO18" s="34" t="n">
        <v>7</v>
      </c>
      <c r="AP18" s="34" t="n">
        <v>86</v>
      </c>
      <c r="AQ18" s="34" t="n">
        <v>57</v>
      </c>
      <c r="AR18" s="34" t="n">
        <v>10</v>
      </c>
      <c r="AS18" s="34" t="n">
        <v>59</v>
      </c>
      <c r="AT18" s="34" t="n">
        <v>17</v>
      </c>
      <c r="AU18" s="34" t="n">
        <v>11</v>
      </c>
      <c r="AV18" s="34" t="n">
        <v>6</v>
      </c>
      <c r="AW18" s="34" t="n">
        <v>4</v>
      </c>
      <c r="AX18" s="34" t="n">
        <v>45</v>
      </c>
      <c r="AY18" s="34" t="n">
        <v>21</v>
      </c>
      <c r="AZ18" s="34" t="n">
        <v>52</v>
      </c>
      <c r="BA18" s="34" t="n">
        <v>66</v>
      </c>
      <c r="BB18" s="34" t="n">
        <v>54</v>
      </c>
      <c r="BC18" s="34" t="n">
        <v>62</v>
      </c>
      <c r="BD18" s="34" t="n">
        <v>73</v>
      </c>
      <c r="BE18" s="34" t="n">
        <v>65</v>
      </c>
      <c r="BF18" s="34" t="n">
        <v>58</v>
      </c>
      <c r="BG18" s="34" t="n">
        <v>94</v>
      </c>
      <c r="BH18" s="34" t="n">
        <v>152</v>
      </c>
      <c r="BI18" s="34" t="n">
        <v>88</v>
      </c>
      <c r="BJ18" s="34" t="n">
        <v>240</v>
      </c>
      <c r="BK18" s="34" t="n">
        <v>24</v>
      </c>
      <c r="BL18" s="34" t="n">
        <v>26</v>
      </c>
    </row>
    <row r="19" customFormat="false" ht="15" hidden="false" customHeight="false" outlineLevel="0" collapsed="false">
      <c r="A19" s="12" t="s">
        <v>193</v>
      </c>
      <c r="B19" s="34" t="n">
        <v>15</v>
      </c>
      <c r="C19" s="12" t="s">
        <v>211</v>
      </c>
      <c r="D19" s="12" t="s">
        <v>212</v>
      </c>
      <c r="E19" s="34" t="n">
        <v>346</v>
      </c>
      <c r="F19" s="34" t="n">
        <v>191</v>
      </c>
      <c r="G19" s="34" t="n">
        <v>155</v>
      </c>
      <c r="H19" s="34" t="n">
        <v>150</v>
      </c>
      <c r="I19" s="34" t="n">
        <v>115</v>
      </c>
      <c r="J19" s="34" t="n">
        <v>25</v>
      </c>
      <c r="K19" s="34" t="n">
        <v>90</v>
      </c>
      <c r="L19" s="34" t="n">
        <v>71</v>
      </c>
      <c r="M19" s="34" t="n">
        <v>40</v>
      </c>
      <c r="N19" s="34" t="n">
        <v>10</v>
      </c>
      <c r="O19" s="34" t="n">
        <v>70</v>
      </c>
      <c r="P19" s="34" t="n">
        <v>10</v>
      </c>
      <c r="Q19" s="34" t="n">
        <v>60</v>
      </c>
      <c r="R19" s="34" t="n">
        <v>14</v>
      </c>
      <c r="S19" s="34" t="n">
        <v>12</v>
      </c>
      <c r="T19" s="34" t="n">
        <v>1452</v>
      </c>
      <c r="U19" s="34" t="n">
        <v>35</v>
      </c>
      <c r="V19" s="34" t="n">
        <v>9</v>
      </c>
      <c r="W19" s="34" t="n">
        <v>41</v>
      </c>
      <c r="X19" s="34" t="n">
        <v>14</v>
      </c>
      <c r="Y19" s="34" t="n">
        <v>12</v>
      </c>
      <c r="Z19" s="34" t="n">
        <v>15</v>
      </c>
      <c r="AA19" s="34" t="n">
        <v>51</v>
      </c>
      <c r="AB19" s="34" t="n">
        <v>32</v>
      </c>
      <c r="AC19" s="34" t="n">
        <v>15</v>
      </c>
      <c r="AD19" s="34" t="n">
        <v>10</v>
      </c>
      <c r="AE19" s="34" t="n">
        <v>47</v>
      </c>
      <c r="AF19" s="34" t="n">
        <v>89</v>
      </c>
      <c r="AG19" s="34" t="n">
        <v>5</v>
      </c>
      <c r="AH19" s="34" t="n">
        <v>54</v>
      </c>
      <c r="AI19" s="34" t="n">
        <v>30</v>
      </c>
      <c r="AJ19" s="34" t="n">
        <v>127</v>
      </c>
      <c r="AK19" s="34" t="n">
        <v>39</v>
      </c>
      <c r="AL19" s="34" t="n">
        <v>15</v>
      </c>
      <c r="AM19" s="34" t="n">
        <v>4</v>
      </c>
      <c r="AN19" s="34" t="n">
        <v>22</v>
      </c>
      <c r="AO19" s="34" t="n">
        <v>10</v>
      </c>
      <c r="AP19" s="34" t="n">
        <v>69</v>
      </c>
      <c r="AQ19" s="34" t="n">
        <v>50</v>
      </c>
      <c r="AR19" s="34" t="n">
        <v>10</v>
      </c>
      <c r="AS19" s="34" t="n">
        <v>51</v>
      </c>
      <c r="AT19" s="34" t="n">
        <v>8</v>
      </c>
      <c r="AU19" s="34" t="n">
        <v>11</v>
      </c>
      <c r="AV19" s="34" t="n">
        <v>8</v>
      </c>
      <c r="AW19" s="34" t="n">
        <v>0</v>
      </c>
      <c r="AX19" s="34" t="n">
        <v>37</v>
      </c>
      <c r="AY19" s="34" t="n">
        <v>19</v>
      </c>
      <c r="AZ19" s="34" t="n">
        <v>57</v>
      </c>
      <c r="BA19" s="34" t="n">
        <v>65</v>
      </c>
      <c r="BB19" s="34" t="n">
        <v>41</v>
      </c>
      <c r="BC19" s="34" t="n">
        <v>55</v>
      </c>
      <c r="BD19" s="34" t="n">
        <v>76</v>
      </c>
      <c r="BE19" s="34" t="n">
        <v>71</v>
      </c>
      <c r="BF19" s="34" t="n">
        <v>53</v>
      </c>
      <c r="BG19" s="34" t="n">
        <v>60</v>
      </c>
      <c r="BH19" s="34" t="n">
        <v>105</v>
      </c>
      <c r="BI19" s="34" t="n">
        <v>119</v>
      </c>
      <c r="BJ19" s="34" t="n">
        <v>224</v>
      </c>
      <c r="BK19" s="34" t="n">
        <v>29</v>
      </c>
      <c r="BL19" s="34" t="n">
        <v>17</v>
      </c>
    </row>
    <row r="20" customFormat="false" ht="15" hidden="false" customHeight="false" outlineLevel="0" collapsed="false">
      <c r="A20" s="12" t="s">
        <v>196</v>
      </c>
      <c r="B20" s="34" t="n">
        <v>16</v>
      </c>
      <c r="C20" s="12" t="s">
        <v>211</v>
      </c>
      <c r="D20" s="12" t="s">
        <v>213</v>
      </c>
      <c r="E20" s="34" t="n">
        <v>338</v>
      </c>
      <c r="F20" s="34" t="n">
        <v>218</v>
      </c>
      <c r="G20" s="34" t="n">
        <v>120</v>
      </c>
      <c r="H20" s="34" t="n">
        <v>141</v>
      </c>
      <c r="I20" s="34" t="n">
        <v>94</v>
      </c>
      <c r="J20" s="34" t="n">
        <v>28</v>
      </c>
      <c r="K20" s="34" t="n">
        <v>66</v>
      </c>
      <c r="L20" s="34" t="n">
        <v>71</v>
      </c>
      <c r="M20" s="34" t="n">
        <v>39</v>
      </c>
      <c r="N20" s="34" t="n">
        <v>9</v>
      </c>
      <c r="O20" s="34" t="n">
        <v>87</v>
      </c>
      <c r="P20" s="34" t="n">
        <v>9</v>
      </c>
      <c r="Q20" s="34" t="n">
        <v>78</v>
      </c>
      <c r="R20" s="34" t="n">
        <v>12</v>
      </c>
      <c r="S20" s="34" t="n">
        <v>9</v>
      </c>
      <c r="T20" s="34" t="n">
        <v>1564</v>
      </c>
      <c r="U20" s="34" t="n">
        <v>29</v>
      </c>
      <c r="V20" s="34" t="n">
        <v>4</v>
      </c>
      <c r="W20" s="34" t="n">
        <v>42</v>
      </c>
      <c r="X20" s="34" t="n">
        <v>13</v>
      </c>
      <c r="Y20" s="34" t="n">
        <v>18</v>
      </c>
      <c r="Z20" s="34" t="n">
        <v>11</v>
      </c>
      <c r="AA20" s="34" t="n">
        <v>60</v>
      </c>
      <c r="AB20" s="34" t="n">
        <v>30</v>
      </c>
      <c r="AC20" s="34" t="n">
        <v>16</v>
      </c>
      <c r="AD20" s="34" t="n">
        <v>10</v>
      </c>
      <c r="AE20" s="34" t="n">
        <v>58</v>
      </c>
      <c r="AF20" s="34" t="n">
        <v>77</v>
      </c>
      <c r="AG20" s="34" t="n">
        <v>4</v>
      </c>
      <c r="AH20" s="34" t="n">
        <v>41</v>
      </c>
      <c r="AI20" s="34" t="n">
        <v>32</v>
      </c>
      <c r="AJ20" s="34" t="n">
        <v>123</v>
      </c>
      <c r="AK20" s="34" t="n">
        <v>56</v>
      </c>
      <c r="AL20" s="34" t="n">
        <v>6</v>
      </c>
      <c r="AM20" s="34" t="n">
        <v>2</v>
      </c>
      <c r="AN20" s="34" t="n">
        <v>31</v>
      </c>
      <c r="AO20" s="34" t="n">
        <v>11</v>
      </c>
      <c r="AP20" s="34" t="n">
        <v>59</v>
      </c>
      <c r="AQ20" s="34" t="n">
        <v>49</v>
      </c>
      <c r="AR20" s="34" t="n">
        <v>12</v>
      </c>
      <c r="AS20" s="34" t="n">
        <v>37</v>
      </c>
      <c r="AT20" s="34" t="n">
        <v>10</v>
      </c>
      <c r="AU20" s="34" t="n">
        <v>12</v>
      </c>
      <c r="AV20" s="34" t="n">
        <v>13</v>
      </c>
      <c r="AW20" s="34" t="n">
        <v>0</v>
      </c>
      <c r="AX20" s="34" t="n">
        <v>41</v>
      </c>
      <c r="AY20" s="34" t="n">
        <v>25</v>
      </c>
      <c r="AZ20" s="34" t="n">
        <v>48</v>
      </c>
      <c r="BA20" s="34" t="n">
        <v>66</v>
      </c>
      <c r="BB20" s="34" t="n">
        <v>40</v>
      </c>
      <c r="BC20" s="34" t="n">
        <v>57</v>
      </c>
      <c r="BD20" s="34" t="n">
        <v>82</v>
      </c>
      <c r="BE20" s="34" t="n">
        <v>52</v>
      </c>
      <c r="BF20" s="34" t="n">
        <v>60</v>
      </c>
      <c r="BG20" s="34" t="n">
        <v>70</v>
      </c>
      <c r="BH20" s="34" t="n">
        <v>125</v>
      </c>
      <c r="BI20" s="34" t="n">
        <v>99</v>
      </c>
      <c r="BJ20" s="34" t="n">
        <v>224</v>
      </c>
      <c r="BK20" s="34" t="n">
        <v>22</v>
      </c>
      <c r="BL20" s="34" t="n">
        <v>18</v>
      </c>
    </row>
    <row r="21" customFormat="false" ht="15" hidden="false" customHeight="false" outlineLevel="0" collapsed="false">
      <c r="A21" s="12" t="s">
        <v>195</v>
      </c>
      <c r="B21" s="34" t="n">
        <v>17</v>
      </c>
      <c r="C21" s="12" t="s">
        <v>211</v>
      </c>
      <c r="D21" s="12" t="s">
        <v>213</v>
      </c>
      <c r="E21" s="34" t="n">
        <v>413</v>
      </c>
      <c r="F21" s="34" t="n">
        <v>235</v>
      </c>
      <c r="G21" s="34" t="n">
        <v>178</v>
      </c>
      <c r="H21" s="34" t="n">
        <v>145</v>
      </c>
      <c r="I21" s="34" t="n">
        <v>101</v>
      </c>
      <c r="J21" s="34" t="n">
        <v>24</v>
      </c>
      <c r="K21" s="34" t="n">
        <v>77</v>
      </c>
      <c r="L21" s="34" t="n">
        <v>63</v>
      </c>
      <c r="M21" s="34" t="n">
        <v>53</v>
      </c>
      <c r="N21" s="34" t="n">
        <v>7</v>
      </c>
      <c r="O21" s="34" t="n">
        <v>92</v>
      </c>
      <c r="P21" s="34" t="n">
        <v>10</v>
      </c>
      <c r="Q21" s="34" t="n">
        <v>82</v>
      </c>
      <c r="R21" s="34" t="n">
        <v>10</v>
      </c>
      <c r="S21" s="34" t="n">
        <v>26</v>
      </c>
      <c r="T21" s="34" t="n">
        <v>1936</v>
      </c>
      <c r="U21" s="34" t="n">
        <v>40</v>
      </c>
      <c r="V21" s="34" t="n">
        <v>9</v>
      </c>
      <c r="W21" s="34" t="n">
        <v>59</v>
      </c>
      <c r="X21" s="34" t="n">
        <v>20</v>
      </c>
      <c r="Y21" s="34" t="n">
        <v>25</v>
      </c>
      <c r="Z21" s="34" t="n">
        <v>14</v>
      </c>
      <c r="AA21" s="34" t="n">
        <v>62</v>
      </c>
      <c r="AB21" s="34" t="n">
        <v>30</v>
      </c>
      <c r="AC21" s="34" t="n">
        <v>16</v>
      </c>
      <c r="AD21" s="34" t="n">
        <v>11</v>
      </c>
      <c r="AE21" s="34" t="n">
        <v>44</v>
      </c>
      <c r="AF21" s="34" t="n">
        <v>75</v>
      </c>
      <c r="AG21" s="34" t="n">
        <v>8</v>
      </c>
      <c r="AH21" s="34" t="n">
        <v>37</v>
      </c>
      <c r="AI21" s="34" t="n">
        <v>30</v>
      </c>
      <c r="AJ21" s="34" t="n">
        <v>122</v>
      </c>
      <c r="AK21" s="34" t="n">
        <v>46</v>
      </c>
      <c r="AL21" s="34" t="n">
        <v>9</v>
      </c>
      <c r="AM21" s="34" t="n">
        <v>3</v>
      </c>
      <c r="AN21" s="34" t="n">
        <v>24</v>
      </c>
      <c r="AO21" s="34" t="n">
        <v>7</v>
      </c>
      <c r="AP21" s="34" t="n">
        <v>64</v>
      </c>
      <c r="AQ21" s="34" t="n">
        <v>54</v>
      </c>
      <c r="AR21" s="34" t="n">
        <v>10</v>
      </c>
      <c r="AS21" s="34" t="n">
        <v>37</v>
      </c>
      <c r="AT21" s="34" t="n">
        <v>17</v>
      </c>
      <c r="AU21" s="34" t="n">
        <v>27</v>
      </c>
      <c r="AV21" s="34" t="n">
        <v>6</v>
      </c>
      <c r="AW21" s="34" t="n">
        <v>3</v>
      </c>
      <c r="AX21" s="34" t="n">
        <v>58</v>
      </c>
      <c r="AY21" s="34" t="n">
        <v>36</v>
      </c>
      <c r="AZ21" s="34" t="n">
        <v>75</v>
      </c>
      <c r="BA21" s="34" t="n">
        <v>73</v>
      </c>
      <c r="BB21" s="34" t="n">
        <v>61</v>
      </c>
      <c r="BC21" s="34" t="n">
        <v>66</v>
      </c>
      <c r="BD21" s="34" t="n">
        <v>83</v>
      </c>
      <c r="BE21" s="34" t="n">
        <v>78</v>
      </c>
      <c r="BF21" s="34" t="n">
        <v>73</v>
      </c>
      <c r="BG21" s="34" t="n">
        <v>73</v>
      </c>
      <c r="BH21" s="34" t="n">
        <v>154</v>
      </c>
      <c r="BI21" s="34" t="n">
        <v>149</v>
      </c>
      <c r="BJ21" s="34" t="n">
        <v>303</v>
      </c>
      <c r="BK21" s="34" t="n">
        <v>46</v>
      </c>
      <c r="BL21" s="34" t="n">
        <v>22</v>
      </c>
    </row>
    <row r="22" customFormat="false" ht="15" hidden="false" customHeight="false" outlineLevel="0" collapsed="false">
      <c r="A22" s="12" t="s">
        <v>198</v>
      </c>
      <c r="B22" s="34" t="n">
        <v>18</v>
      </c>
      <c r="C22" s="12" t="s">
        <v>211</v>
      </c>
      <c r="D22" s="12" t="s">
        <v>213</v>
      </c>
      <c r="E22" s="34" t="n">
        <v>354</v>
      </c>
      <c r="F22" s="34" t="n">
        <v>240</v>
      </c>
      <c r="G22" s="34" t="n">
        <v>114</v>
      </c>
      <c r="H22" s="34" t="n">
        <v>130</v>
      </c>
      <c r="I22" s="34" t="n">
        <v>71</v>
      </c>
      <c r="J22" s="34" t="n">
        <v>30</v>
      </c>
      <c r="K22" s="34" t="n">
        <v>41</v>
      </c>
      <c r="L22" s="34" t="n">
        <v>72</v>
      </c>
      <c r="M22" s="34" t="n">
        <v>38</v>
      </c>
      <c r="N22" s="34" t="n">
        <v>13</v>
      </c>
      <c r="O22" s="34" t="n">
        <v>139</v>
      </c>
      <c r="P22" s="34" t="n">
        <v>27</v>
      </c>
      <c r="Q22" s="34" t="n">
        <v>112</v>
      </c>
      <c r="R22" s="34" t="n">
        <v>20</v>
      </c>
      <c r="S22" s="34" t="n">
        <v>28</v>
      </c>
      <c r="T22" s="34" t="n">
        <v>1745</v>
      </c>
      <c r="U22" s="34" t="n">
        <v>35</v>
      </c>
      <c r="V22" s="34" t="n">
        <v>6</v>
      </c>
      <c r="W22" s="34" t="n">
        <v>29</v>
      </c>
      <c r="X22" s="34" t="n">
        <v>5</v>
      </c>
      <c r="Y22" s="34" t="n">
        <v>13</v>
      </c>
      <c r="Z22" s="34" t="n">
        <v>11</v>
      </c>
      <c r="AA22" s="34" t="n">
        <v>54</v>
      </c>
      <c r="AB22" s="34" t="n">
        <v>32</v>
      </c>
      <c r="AC22" s="34" t="n">
        <v>16</v>
      </c>
      <c r="AD22" s="34" t="n">
        <v>12</v>
      </c>
      <c r="AE22" s="34" t="n">
        <v>23</v>
      </c>
      <c r="AF22" s="34" t="n">
        <v>63</v>
      </c>
      <c r="AG22" s="34" t="n">
        <v>0</v>
      </c>
      <c r="AH22" s="34" t="n">
        <v>36</v>
      </c>
      <c r="AI22" s="34" t="n">
        <v>27</v>
      </c>
      <c r="AJ22" s="34" t="n">
        <v>117</v>
      </c>
      <c r="AK22" s="34" t="n">
        <v>45</v>
      </c>
      <c r="AL22" s="34" t="n">
        <v>10</v>
      </c>
      <c r="AM22" s="34" t="n">
        <v>5</v>
      </c>
      <c r="AN22" s="34" t="n">
        <v>7</v>
      </c>
      <c r="AO22" s="34" t="n">
        <v>5</v>
      </c>
      <c r="AP22" s="34" t="n">
        <v>57</v>
      </c>
      <c r="AQ22" s="34" t="n">
        <v>43</v>
      </c>
      <c r="AR22" s="34" t="n">
        <v>5</v>
      </c>
      <c r="AS22" s="34" t="n">
        <v>35</v>
      </c>
      <c r="AT22" s="34" t="n">
        <v>17</v>
      </c>
      <c r="AU22" s="34" t="n">
        <v>12</v>
      </c>
      <c r="AV22" s="34" t="n">
        <v>11</v>
      </c>
      <c r="AW22" s="34" t="n">
        <v>1</v>
      </c>
      <c r="AX22" s="34" t="n">
        <v>44</v>
      </c>
      <c r="AY22" s="34" t="n">
        <v>24</v>
      </c>
      <c r="AZ22" s="34" t="n">
        <v>50</v>
      </c>
      <c r="BA22" s="34" t="n">
        <v>75</v>
      </c>
      <c r="BB22" s="34" t="n">
        <v>70</v>
      </c>
      <c r="BC22" s="34" t="n">
        <v>74</v>
      </c>
      <c r="BD22" s="34" t="n">
        <v>78</v>
      </c>
      <c r="BE22" s="34" t="n">
        <v>69</v>
      </c>
      <c r="BF22" s="34" t="n">
        <v>78</v>
      </c>
      <c r="BG22" s="34" t="n">
        <v>92</v>
      </c>
      <c r="BH22" s="34" t="n">
        <v>177</v>
      </c>
      <c r="BI22" s="34" t="n">
        <v>90</v>
      </c>
      <c r="BJ22" s="34" t="n">
        <v>267</v>
      </c>
      <c r="BK22" s="34" t="n">
        <v>20</v>
      </c>
      <c r="BL22" s="34" t="n">
        <v>25</v>
      </c>
    </row>
    <row r="23" customFormat="false" ht="15" hidden="false" customHeight="false" outlineLevel="0" collapsed="false">
      <c r="A23" s="12" t="s">
        <v>194</v>
      </c>
      <c r="B23" s="12" t="s">
        <v>218</v>
      </c>
      <c r="C23" s="12" t="s">
        <v>219</v>
      </c>
      <c r="D23" s="12" t="s">
        <v>213</v>
      </c>
      <c r="E23" s="34" t="n">
        <v>398</v>
      </c>
      <c r="F23" s="34" t="n">
        <v>252</v>
      </c>
      <c r="G23" s="34" t="n">
        <v>146</v>
      </c>
      <c r="H23" s="34" t="n">
        <v>179</v>
      </c>
      <c r="I23" s="34" t="n">
        <v>124</v>
      </c>
      <c r="J23" s="34" t="n">
        <v>39</v>
      </c>
      <c r="K23" s="34" t="n">
        <v>85</v>
      </c>
      <c r="L23" s="34" t="n">
        <v>92</v>
      </c>
      <c r="M23" s="34" t="n">
        <v>40</v>
      </c>
      <c r="N23" s="34" t="n">
        <v>5</v>
      </c>
      <c r="O23" s="34" t="n">
        <v>99</v>
      </c>
      <c r="P23" s="34" t="n">
        <v>15</v>
      </c>
      <c r="Q23" s="34" t="n">
        <v>84</v>
      </c>
      <c r="R23" s="34" t="n">
        <v>20</v>
      </c>
      <c r="S23" s="34" t="n">
        <v>7</v>
      </c>
      <c r="T23" s="34" t="n">
        <v>1934</v>
      </c>
      <c r="U23" s="34" t="n">
        <v>37</v>
      </c>
      <c r="V23" s="34" t="n">
        <v>6</v>
      </c>
      <c r="W23" s="34" t="n">
        <v>45</v>
      </c>
      <c r="X23" s="34" t="n">
        <v>12</v>
      </c>
      <c r="Y23" s="34" t="n">
        <v>21</v>
      </c>
      <c r="Z23" s="34" t="n">
        <v>12</v>
      </c>
      <c r="AA23" s="34" t="n">
        <v>57</v>
      </c>
      <c r="AB23" s="34" t="n">
        <v>45</v>
      </c>
      <c r="AC23" s="34" t="n">
        <v>21</v>
      </c>
      <c r="AD23" s="34" t="n">
        <v>7</v>
      </c>
      <c r="AE23" s="34" t="n">
        <v>84</v>
      </c>
      <c r="AF23" s="34" t="n">
        <v>98</v>
      </c>
      <c r="AG23" s="34" t="n">
        <v>5</v>
      </c>
      <c r="AH23" s="34" t="n">
        <v>61</v>
      </c>
      <c r="AI23" s="34" t="n">
        <v>32</v>
      </c>
      <c r="AJ23" s="34" t="n">
        <v>174</v>
      </c>
      <c r="AK23" s="34" t="n">
        <v>62</v>
      </c>
      <c r="AL23" s="34" t="n">
        <v>12</v>
      </c>
      <c r="AM23" s="34" t="n">
        <v>7</v>
      </c>
      <c r="AN23" s="34" t="n">
        <v>29</v>
      </c>
      <c r="AO23" s="34" t="n">
        <v>7</v>
      </c>
      <c r="AP23" s="34" t="n">
        <v>93</v>
      </c>
      <c r="AQ23" s="34" t="n">
        <v>75</v>
      </c>
      <c r="AR23" s="34" t="n">
        <v>15</v>
      </c>
      <c r="AS23" s="34" t="n">
        <v>59</v>
      </c>
      <c r="AT23" s="34" t="n">
        <v>19</v>
      </c>
      <c r="AU23" s="34" t="n">
        <v>16</v>
      </c>
      <c r="AV23" s="34" t="n">
        <v>3</v>
      </c>
      <c r="AW23" s="34" t="n">
        <v>4</v>
      </c>
      <c r="AX23" s="34" t="n">
        <v>40</v>
      </c>
      <c r="AY23" s="34" t="n">
        <v>23</v>
      </c>
      <c r="AZ23" s="34" t="n">
        <v>69</v>
      </c>
      <c r="BA23" s="34" t="n">
        <v>64</v>
      </c>
      <c r="BB23" s="34" t="n">
        <v>46</v>
      </c>
      <c r="BC23" s="34" t="n">
        <v>56</v>
      </c>
      <c r="BD23" s="34" t="n">
        <v>78</v>
      </c>
      <c r="BE23" s="34" t="n">
        <v>56</v>
      </c>
      <c r="BF23" s="34" t="n">
        <v>49</v>
      </c>
      <c r="BG23" s="34" t="n">
        <v>86</v>
      </c>
      <c r="BH23" s="34" t="n">
        <v>141</v>
      </c>
      <c r="BI23" s="34" t="n">
        <v>115</v>
      </c>
      <c r="BJ23" s="34" t="n">
        <v>256</v>
      </c>
      <c r="BK23" s="34" t="n">
        <v>25</v>
      </c>
      <c r="BL23" s="34" t="n">
        <v>22</v>
      </c>
    </row>
    <row r="24" customFormat="false" ht="15" hidden="false" customHeight="false" outlineLevel="0" collapsed="false">
      <c r="A24" s="12" t="s">
        <v>193</v>
      </c>
      <c r="B24" s="12" t="s">
        <v>220</v>
      </c>
      <c r="C24" s="12" t="s">
        <v>219</v>
      </c>
      <c r="D24" s="12" t="s">
        <v>213</v>
      </c>
      <c r="E24" s="34" t="n">
        <v>375</v>
      </c>
      <c r="F24" s="34" t="n">
        <v>232</v>
      </c>
      <c r="G24" s="34" t="n">
        <v>143</v>
      </c>
      <c r="H24" s="34" t="n">
        <v>146</v>
      </c>
      <c r="I24" s="34" t="n">
        <v>101</v>
      </c>
      <c r="J24" s="34" t="n">
        <v>38</v>
      </c>
      <c r="K24" s="34" t="n">
        <v>63</v>
      </c>
      <c r="L24" s="34" t="n">
        <v>70</v>
      </c>
      <c r="M24" s="34" t="n">
        <v>43</v>
      </c>
      <c r="N24" s="34" t="n">
        <v>9</v>
      </c>
      <c r="O24" s="34" t="n">
        <v>111</v>
      </c>
      <c r="P24" s="34" t="n">
        <v>17</v>
      </c>
      <c r="Q24" s="34" t="n">
        <v>94</v>
      </c>
      <c r="R24" s="34" t="n">
        <v>21</v>
      </c>
      <c r="S24" s="34" t="n">
        <v>15</v>
      </c>
      <c r="T24" s="34" t="n">
        <v>1818</v>
      </c>
      <c r="U24" s="34" t="n">
        <v>45</v>
      </c>
      <c r="V24" s="34" t="n">
        <v>6</v>
      </c>
      <c r="W24" s="34" t="n">
        <v>35</v>
      </c>
      <c r="X24" s="34" t="n">
        <v>10</v>
      </c>
      <c r="Y24" s="34" t="n">
        <v>16</v>
      </c>
      <c r="Z24" s="34" t="n">
        <v>9</v>
      </c>
      <c r="AA24" s="34" t="n">
        <v>56</v>
      </c>
      <c r="AB24" s="34" t="n">
        <v>42</v>
      </c>
      <c r="AC24" s="34" t="n">
        <v>14</v>
      </c>
      <c r="AD24" s="34" t="n">
        <v>10</v>
      </c>
      <c r="AE24" s="34" t="n">
        <v>27</v>
      </c>
      <c r="AF24" s="34" t="n">
        <v>64</v>
      </c>
      <c r="AG24" s="34" t="n">
        <v>4</v>
      </c>
      <c r="AH24" s="34" t="n">
        <v>39</v>
      </c>
      <c r="AI24" s="34" t="n">
        <v>21</v>
      </c>
      <c r="AJ24" s="34" t="n">
        <v>106</v>
      </c>
      <c r="AK24" s="34" t="n">
        <v>31</v>
      </c>
      <c r="AL24" s="34" t="n">
        <v>13</v>
      </c>
      <c r="AM24" s="34" t="n">
        <v>5</v>
      </c>
      <c r="AN24" s="34" t="n">
        <v>7</v>
      </c>
      <c r="AO24" s="34" t="n">
        <v>7</v>
      </c>
      <c r="AP24" s="34" t="n">
        <v>57</v>
      </c>
      <c r="AQ24" s="34" t="n">
        <v>50</v>
      </c>
      <c r="AR24" s="34" t="n">
        <v>9</v>
      </c>
      <c r="AS24" s="34" t="n">
        <v>36</v>
      </c>
      <c r="AT24" s="34" t="n">
        <v>12</v>
      </c>
      <c r="AU24" s="34" t="n">
        <v>19</v>
      </c>
      <c r="AV24" s="34" t="n">
        <v>12</v>
      </c>
      <c r="AW24" s="34" t="n">
        <v>1</v>
      </c>
      <c r="AX24" s="34" t="n">
        <v>57</v>
      </c>
      <c r="AY24" s="34" t="n">
        <v>32</v>
      </c>
      <c r="AZ24" s="34" t="n">
        <v>59</v>
      </c>
      <c r="BA24" s="34" t="n">
        <v>73</v>
      </c>
      <c r="BB24" s="34" t="n">
        <v>63</v>
      </c>
      <c r="BC24" s="34" t="n">
        <v>69</v>
      </c>
      <c r="BD24" s="34" t="n">
        <v>80</v>
      </c>
      <c r="BE24" s="34" t="n">
        <v>63</v>
      </c>
      <c r="BF24" s="34" t="n">
        <v>79</v>
      </c>
      <c r="BG24" s="34" t="n">
        <v>100</v>
      </c>
      <c r="BH24" s="34" t="n">
        <v>160</v>
      </c>
      <c r="BI24" s="34" t="n">
        <v>115</v>
      </c>
      <c r="BJ24" s="34" t="n">
        <v>275</v>
      </c>
      <c r="BK24" s="34" t="n">
        <v>22</v>
      </c>
      <c r="BL24" s="34" t="n">
        <v>33</v>
      </c>
    </row>
    <row r="25" customFormat="false" ht="15" hidden="false" customHeight="false" outlineLevel="0" collapsed="false">
      <c r="A25" s="12" t="s">
        <v>194</v>
      </c>
      <c r="B25" s="12" t="s">
        <v>221</v>
      </c>
      <c r="C25" s="12" t="s">
        <v>219</v>
      </c>
      <c r="D25" s="12" t="s">
        <v>213</v>
      </c>
      <c r="E25" s="34" t="n">
        <v>376</v>
      </c>
      <c r="F25" s="34" t="n">
        <v>227</v>
      </c>
      <c r="G25" s="34" t="n">
        <v>149</v>
      </c>
      <c r="H25" s="34" t="n">
        <v>143</v>
      </c>
      <c r="I25" s="34" t="n">
        <v>89</v>
      </c>
      <c r="J25" s="34" t="n">
        <v>31</v>
      </c>
      <c r="K25" s="34" t="n">
        <v>58</v>
      </c>
      <c r="L25" s="34" t="n">
        <v>76</v>
      </c>
      <c r="M25" s="34" t="n">
        <v>62</v>
      </c>
      <c r="N25" s="34" t="n">
        <v>9</v>
      </c>
      <c r="O25" s="34" t="n">
        <v>97</v>
      </c>
      <c r="P25" s="34" t="n">
        <v>19</v>
      </c>
      <c r="Q25" s="34" t="n">
        <v>78</v>
      </c>
      <c r="R25" s="34" t="n">
        <v>22</v>
      </c>
      <c r="S25" s="34" t="n">
        <v>23</v>
      </c>
      <c r="T25" s="34" t="n">
        <v>1800</v>
      </c>
      <c r="U25" s="34" t="n">
        <v>34</v>
      </c>
      <c r="V25" s="34" t="n">
        <v>5</v>
      </c>
      <c r="W25" s="34" t="n">
        <v>49</v>
      </c>
      <c r="X25" s="34" t="n">
        <v>14</v>
      </c>
      <c r="Y25" s="34" t="n">
        <v>22</v>
      </c>
      <c r="Z25" s="34" t="n">
        <v>13</v>
      </c>
      <c r="AA25" s="34" t="n">
        <v>53</v>
      </c>
      <c r="AB25" s="34" t="n">
        <v>43</v>
      </c>
      <c r="AC25" s="34" t="n">
        <v>12</v>
      </c>
      <c r="AD25" s="34" t="n">
        <v>12</v>
      </c>
      <c r="AE25" s="34" t="n">
        <v>44</v>
      </c>
      <c r="AF25" s="34" t="n">
        <v>76</v>
      </c>
      <c r="AG25" s="34" t="n">
        <v>4</v>
      </c>
      <c r="AH25" s="34" t="n">
        <v>54</v>
      </c>
      <c r="AI25" s="34" t="n">
        <v>18</v>
      </c>
      <c r="AJ25" s="34" t="n">
        <v>105</v>
      </c>
      <c r="AK25" s="34" t="n">
        <v>33</v>
      </c>
      <c r="AL25" s="34" t="n">
        <v>11</v>
      </c>
      <c r="AM25" s="34" t="n">
        <v>8</v>
      </c>
      <c r="AN25" s="34" t="n">
        <v>20</v>
      </c>
      <c r="AO25" s="34" t="n">
        <v>2</v>
      </c>
      <c r="AP25" s="34" t="n">
        <v>53</v>
      </c>
      <c r="AQ25" s="34" t="n">
        <v>39</v>
      </c>
      <c r="AR25" s="34" t="n">
        <v>9</v>
      </c>
      <c r="AS25" s="34" t="n">
        <v>30</v>
      </c>
      <c r="AT25" s="34" t="n">
        <v>14</v>
      </c>
      <c r="AU25" s="34" t="n">
        <v>21</v>
      </c>
      <c r="AV25" s="34" t="n">
        <v>15</v>
      </c>
      <c r="AW25" s="34" t="n">
        <v>0</v>
      </c>
      <c r="AX25" s="34" t="n">
        <v>67</v>
      </c>
      <c r="AY25" s="34" t="n">
        <v>36</v>
      </c>
      <c r="AZ25" s="34" t="n">
        <v>58</v>
      </c>
      <c r="BA25" s="34" t="n">
        <v>70</v>
      </c>
      <c r="BB25" s="34" t="n">
        <v>75</v>
      </c>
      <c r="BC25" s="34" t="n">
        <v>65</v>
      </c>
      <c r="BD25" s="34" t="n">
        <v>77</v>
      </c>
      <c r="BE25" s="34" t="n">
        <v>65</v>
      </c>
      <c r="BF25" s="34" t="n">
        <v>79</v>
      </c>
      <c r="BG25" s="34" t="n">
        <v>92</v>
      </c>
      <c r="BH25" s="34" t="n">
        <v>148</v>
      </c>
      <c r="BI25" s="34" t="n">
        <v>115</v>
      </c>
      <c r="BJ25" s="34" t="n">
        <v>263</v>
      </c>
      <c r="BK25" s="34" t="n">
        <v>32</v>
      </c>
      <c r="BL25" s="34" t="n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8F3A"/>
    <pageSetUpPr fitToPage="false"/>
  </sheetPr>
  <dimension ref="A1:B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8" t="s">
        <v>207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">
        <v>203</v>
      </c>
      <c r="B5" s="34" t="n">
        <v>1</v>
      </c>
      <c r="C5" s="12" t="s">
        <v>211</v>
      </c>
      <c r="D5" s="12" t="s">
        <v>213</v>
      </c>
      <c r="E5" s="34" t="n">
        <v>302</v>
      </c>
      <c r="F5" s="34" t="n">
        <v>201</v>
      </c>
      <c r="G5" s="34" t="n">
        <v>101</v>
      </c>
      <c r="H5" s="34" t="n">
        <v>98</v>
      </c>
      <c r="I5" s="34" t="n">
        <v>58</v>
      </c>
      <c r="J5" s="34" t="n">
        <v>29</v>
      </c>
      <c r="K5" s="34" t="n">
        <v>29</v>
      </c>
      <c r="L5" s="34" t="n">
        <v>50</v>
      </c>
      <c r="M5" s="34" t="n">
        <v>30</v>
      </c>
      <c r="N5" s="34" t="n">
        <v>3</v>
      </c>
      <c r="O5" s="34" t="n">
        <v>118</v>
      </c>
      <c r="P5" s="34" t="n">
        <v>12</v>
      </c>
      <c r="Q5" s="34" t="n">
        <v>106</v>
      </c>
      <c r="R5" s="34" t="n">
        <v>20</v>
      </c>
      <c r="S5" s="34" t="n">
        <v>8</v>
      </c>
      <c r="T5" s="34" t="n">
        <v>1429</v>
      </c>
      <c r="U5" s="34" t="n">
        <v>57</v>
      </c>
      <c r="V5" s="34" t="n">
        <v>8</v>
      </c>
      <c r="W5" s="34" t="n">
        <v>31</v>
      </c>
      <c r="X5" s="34" t="n">
        <v>8</v>
      </c>
      <c r="Y5" s="34" t="n">
        <v>11</v>
      </c>
      <c r="Z5" s="34" t="n">
        <v>12</v>
      </c>
      <c r="AA5" s="34" t="n">
        <v>20</v>
      </c>
      <c r="AB5" s="34" t="n">
        <v>48</v>
      </c>
      <c r="AC5" s="34" t="n">
        <v>14</v>
      </c>
      <c r="AD5" s="34" t="n">
        <v>19</v>
      </c>
      <c r="AE5" s="34" t="n">
        <v>42</v>
      </c>
      <c r="AF5" s="34" t="n">
        <v>63</v>
      </c>
      <c r="AG5" s="34" t="n">
        <v>6</v>
      </c>
      <c r="AH5" s="34" t="n">
        <v>47</v>
      </c>
      <c r="AI5" s="34" t="n">
        <v>10</v>
      </c>
      <c r="AJ5" s="34" t="n">
        <v>111</v>
      </c>
      <c r="AK5" s="34" t="n">
        <v>44</v>
      </c>
      <c r="AL5" s="34" t="n">
        <v>14</v>
      </c>
      <c r="AM5" s="34" t="n">
        <v>3</v>
      </c>
      <c r="AN5" s="34" t="n">
        <v>21</v>
      </c>
      <c r="AO5" s="34" t="n">
        <v>2</v>
      </c>
      <c r="AP5" s="34" t="n">
        <v>50</v>
      </c>
      <c r="AQ5" s="34" t="n">
        <v>29</v>
      </c>
      <c r="AR5" s="34" t="n">
        <v>1</v>
      </c>
      <c r="AS5" s="34" t="n">
        <v>27</v>
      </c>
      <c r="AT5" s="34" t="n">
        <v>22</v>
      </c>
      <c r="AU5" s="34" t="n">
        <v>7</v>
      </c>
      <c r="AV5" s="34" t="n">
        <v>0</v>
      </c>
      <c r="AW5" s="34" t="n">
        <v>0</v>
      </c>
      <c r="AX5" s="34" t="n">
        <v>35</v>
      </c>
      <c r="AY5" s="34" t="n">
        <v>7</v>
      </c>
      <c r="AZ5" s="34" t="n">
        <v>100</v>
      </c>
      <c r="BA5" s="34" t="n">
        <v>75</v>
      </c>
      <c r="BB5" s="34" t="n">
        <v>60</v>
      </c>
      <c r="BC5" s="34" t="n">
        <v>72</v>
      </c>
      <c r="BD5" s="34" t="n">
        <v>81</v>
      </c>
      <c r="BE5" s="34" t="n">
        <v>58</v>
      </c>
      <c r="BF5" s="34" t="n">
        <v>46</v>
      </c>
      <c r="BG5" s="34" t="n">
        <v>63</v>
      </c>
      <c r="BH5" s="34" t="n">
        <v>144</v>
      </c>
      <c r="BI5" s="34" t="n">
        <v>82</v>
      </c>
      <c r="BJ5" s="34" t="n">
        <v>226</v>
      </c>
      <c r="BK5" s="34" t="n">
        <v>18</v>
      </c>
      <c r="BL5" s="34" t="n">
        <v>22</v>
      </c>
    </row>
    <row r="6" customFormat="false" ht="15" hidden="false" customHeight="false" outlineLevel="0" collapsed="false">
      <c r="A6" s="12" t="s">
        <v>202</v>
      </c>
      <c r="B6" s="34" t="n">
        <v>2</v>
      </c>
      <c r="C6" s="12" t="s">
        <v>211</v>
      </c>
      <c r="D6" s="12" t="s">
        <v>213</v>
      </c>
      <c r="E6" s="34" t="n">
        <v>285</v>
      </c>
      <c r="F6" s="34" t="n">
        <v>180</v>
      </c>
      <c r="G6" s="34" t="n">
        <v>105</v>
      </c>
      <c r="H6" s="34" t="n">
        <v>143</v>
      </c>
      <c r="I6" s="34" t="n">
        <v>85</v>
      </c>
      <c r="J6" s="34" t="n">
        <v>31</v>
      </c>
      <c r="K6" s="34" t="n">
        <v>54</v>
      </c>
      <c r="L6" s="34" t="n">
        <v>69</v>
      </c>
      <c r="M6" s="34" t="n">
        <v>34</v>
      </c>
      <c r="N6" s="34" t="n">
        <v>5</v>
      </c>
      <c r="O6" s="34" t="n">
        <v>68</v>
      </c>
      <c r="P6" s="34" t="n">
        <v>18</v>
      </c>
      <c r="Q6" s="34" t="n">
        <v>50</v>
      </c>
      <c r="R6" s="34" t="n">
        <v>10</v>
      </c>
      <c r="S6" s="34" t="n">
        <v>6</v>
      </c>
      <c r="T6" s="34" t="n">
        <v>1267</v>
      </c>
      <c r="U6" s="34" t="n">
        <v>72</v>
      </c>
      <c r="V6" s="34" t="n">
        <v>14</v>
      </c>
      <c r="W6" s="34" t="n">
        <v>45</v>
      </c>
      <c r="X6" s="34" t="n">
        <v>8</v>
      </c>
      <c r="Y6" s="34" t="n">
        <v>15</v>
      </c>
      <c r="Z6" s="34" t="n">
        <v>22</v>
      </c>
      <c r="AA6" s="34" t="n">
        <v>28</v>
      </c>
      <c r="AB6" s="34" t="n">
        <v>43</v>
      </c>
      <c r="AC6" s="34" t="n">
        <v>29</v>
      </c>
      <c r="AD6" s="34" t="n">
        <v>17</v>
      </c>
      <c r="AE6" s="34" t="n">
        <v>51</v>
      </c>
      <c r="AF6" s="34" t="n">
        <v>87</v>
      </c>
      <c r="AG6" s="34" t="n">
        <v>7</v>
      </c>
      <c r="AH6" s="34" t="n">
        <v>66</v>
      </c>
      <c r="AI6" s="34" t="n">
        <v>14</v>
      </c>
      <c r="AJ6" s="34" t="n">
        <v>121</v>
      </c>
      <c r="AK6" s="34" t="n">
        <v>53</v>
      </c>
      <c r="AL6" s="34" t="n">
        <v>7</v>
      </c>
      <c r="AM6" s="34" t="n">
        <v>5</v>
      </c>
      <c r="AN6" s="34" t="n">
        <v>28</v>
      </c>
      <c r="AO6" s="34" t="n">
        <v>2</v>
      </c>
      <c r="AP6" s="34" t="n">
        <v>56</v>
      </c>
      <c r="AQ6" s="34" t="n">
        <v>41</v>
      </c>
      <c r="AR6" s="34" t="n">
        <v>2</v>
      </c>
      <c r="AS6" s="34" t="n">
        <v>40</v>
      </c>
      <c r="AT6" s="34" t="n">
        <v>14</v>
      </c>
      <c r="AU6" s="34" t="n">
        <v>6</v>
      </c>
      <c r="AV6" s="34" t="n">
        <v>4</v>
      </c>
      <c r="AW6" s="34" t="n">
        <v>0</v>
      </c>
      <c r="AX6" s="34" t="n">
        <v>35</v>
      </c>
      <c r="AY6" s="34" t="n">
        <v>10</v>
      </c>
      <c r="AZ6" s="34" t="n">
        <v>60</v>
      </c>
      <c r="BA6" s="34" t="n">
        <v>56</v>
      </c>
      <c r="BB6" s="34" t="n">
        <v>50</v>
      </c>
      <c r="BC6" s="34" t="n">
        <v>52</v>
      </c>
      <c r="BD6" s="34" t="n">
        <v>63</v>
      </c>
      <c r="BE6" s="34" t="n">
        <v>44</v>
      </c>
      <c r="BF6" s="34" t="n">
        <v>51</v>
      </c>
      <c r="BG6" s="34" t="n">
        <v>71</v>
      </c>
      <c r="BH6" s="34" t="n">
        <v>94</v>
      </c>
      <c r="BI6" s="34" t="n">
        <v>67</v>
      </c>
      <c r="BJ6" s="34" t="n">
        <v>161</v>
      </c>
      <c r="BK6" s="34" t="n">
        <v>20</v>
      </c>
      <c r="BL6" s="34" t="n">
        <v>22</v>
      </c>
    </row>
    <row r="7" customFormat="false" ht="15" hidden="false" customHeight="false" outlineLevel="0" collapsed="false">
      <c r="A7" s="12" t="s">
        <v>197</v>
      </c>
      <c r="B7" s="34" t="n">
        <v>3</v>
      </c>
      <c r="C7" s="12" t="s">
        <v>211</v>
      </c>
      <c r="D7" s="12" t="s">
        <v>213</v>
      </c>
      <c r="E7" s="34" t="n">
        <v>343</v>
      </c>
      <c r="F7" s="34" t="n">
        <v>200</v>
      </c>
      <c r="G7" s="34" t="n">
        <v>143</v>
      </c>
      <c r="H7" s="34" t="n">
        <v>139</v>
      </c>
      <c r="I7" s="34" t="n">
        <v>103</v>
      </c>
      <c r="J7" s="34" t="n">
        <v>50</v>
      </c>
      <c r="K7" s="34" t="n">
        <v>53</v>
      </c>
      <c r="L7" s="34" t="n">
        <v>79</v>
      </c>
      <c r="M7" s="34" t="n">
        <v>49</v>
      </c>
      <c r="N7" s="34" t="n">
        <v>10</v>
      </c>
      <c r="O7" s="34" t="n">
        <v>69</v>
      </c>
      <c r="P7" s="34" t="n">
        <v>9</v>
      </c>
      <c r="Q7" s="34" t="n">
        <v>60</v>
      </c>
      <c r="R7" s="34" t="n">
        <v>15</v>
      </c>
      <c r="S7" s="34" t="n">
        <v>6</v>
      </c>
      <c r="T7" s="34" t="n">
        <v>1570</v>
      </c>
      <c r="U7" s="34" t="n">
        <v>56</v>
      </c>
      <c r="V7" s="34" t="n">
        <v>10</v>
      </c>
      <c r="W7" s="34" t="n">
        <v>41</v>
      </c>
      <c r="X7" s="34" t="n">
        <v>8</v>
      </c>
      <c r="Y7" s="34" t="n">
        <v>21</v>
      </c>
      <c r="Z7" s="34" t="n">
        <v>12</v>
      </c>
      <c r="AA7" s="34" t="n">
        <v>50</v>
      </c>
      <c r="AB7" s="34" t="n">
        <v>46</v>
      </c>
      <c r="AC7" s="34" t="n">
        <v>22</v>
      </c>
      <c r="AD7" s="34" t="n">
        <v>14</v>
      </c>
      <c r="AE7" s="34" t="n">
        <v>56</v>
      </c>
      <c r="AF7" s="34" t="n">
        <v>88</v>
      </c>
      <c r="AG7" s="34" t="n">
        <v>9</v>
      </c>
      <c r="AH7" s="34" t="n">
        <v>51</v>
      </c>
      <c r="AI7" s="34" t="n">
        <v>28</v>
      </c>
      <c r="AJ7" s="34" t="n">
        <v>146</v>
      </c>
      <c r="AK7" s="34" t="n">
        <v>49</v>
      </c>
      <c r="AL7" s="34" t="n">
        <v>10</v>
      </c>
      <c r="AM7" s="34" t="n">
        <v>5</v>
      </c>
      <c r="AN7" s="34" t="n">
        <v>28</v>
      </c>
      <c r="AO7" s="34" t="n">
        <v>11</v>
      </c>
      <c r="AP7" s="34" t="n">
        <v>82</v>
      </c>
      <c r="AQ7" s="34" t="n">
        <v>64</v>
      </c>
      <c r="AR7" s="34" t="n">
        <v>14</v>
      </c>
      <c r="AS7" s="34" t="n">
        <v>49</v>
      </c>
      <c r="AT7" s="34" t="n">
        <v>19</v>
      </c>
      <c r="AU7" s="34" t="n">
        <v>8</v>
      </c>
      <c r="AV7" s="34" t="n">
        <v>5</v>
      </c>
      <c r="AW7" s="34" t="n">
        <v>3</v>
      </c>
      <c r="AX7" s="34" t="n">
        <v>32</v>
      </c>
      <c r="AY7" s="34" t="n">
        <v>16</v>
      </c>
      <c r="AZ7" s="34" t="n">
        <v>50</v>
      </c>
      <c r="BA7" s="34" t="n">
        <v>64</v>
      </c>
      <c r="BB7" s="34" t="n">
        <v>40</v>
      </c>
      <c r="BC7" s="34" t="n">
        <v>56</v>
      </c>
      <c r="BD7" s="34" t="n">
        <v>74</v>
      </c>
      <c r="BE7" s="34" t="n">
        <v>71</v>
      </c>
      <c r="BF7" s="34" t="n">
        <v>54</v>
      </c>
      <c r="BG7" s="34" t="n">
        <v>86</v>
      </c>
      <c r="BH7" s="34" t="n">
        <v>113</v>
      </c>
      <c r="BI7" s="34" t="n">
        <v>107</v>
      </c>
      <c r="BJ7" s="34" t="n">
        <v>220</v>
      </c>
      <c r="BK7" s="34" t="n">
        <v>29</v>
      </c>
      <c r="BL7" s="34" t="n">
        <v>25</v>
      </c>
    </row>
    <row r="8" customFormat="false" ht="15" hidden="false" customHeight="false" outlineLevel="0" collapsed="false">
      <c r="A8" s="12" t="s">
        <v>193</v>
      </c>
      <c r="B8" s="34" t="n">
        <v>4</v>
      </c>
      <c r="C8" s="12" t="s">
        <v>211</v>
      </c>
      <c r="D8" s="12" t="s">
        <v>213</v>
      </c>
      <c r="E8" s="34" t="n">
        <v>323</v>
      </c>
      <c r="F8" s="34" t="n">
        <v>212</v>
      </c>
      <c r="G8" s="34" t="n">
        <v>111</v>
      </c>
      <c r="H8" s="34" t="n">
        <v>162</v>
      </c>
      <c r="I8" s="34" t="n">
        <v>99</v>
      </c>
      <c r="J8" s="34" t="n">
        <v>48</v>
      </c>
      <c r="K8" s="34" t="n">
        <v>51</v>
      </c>
      <c r="L8" s="34" t="n">
        <v>77</v>
      </c>
      <c r="M8" s="34" t="n">
        <v>50</v>
      </c>
      <c r="N8" s="34" t="n">
        <v>1</v>
      </c>
      <c r="O8" s="34" t="n">
        <v>86</v>
      </c>
      <c r="P8" s="34" t="n">
        <v>15</v>
      </c>
      <c r="Q8" s="34" t="n">
        <v>71</v>
      </c>
      <c r="R8" s="34" t="n">
        <v>18</v>
      </c>
      <c r="S8" s="34" t="n">
        <v>12</v>
      </c>
      <c r="T8" s="34" t="n">
        <v>1515</v>
      </c>
      <c r="U8" s="34" t="n">
        <v>72</v>
      </c>
      <c r="V8" s="34" t="n">
        <v>13</v>
      </c>
      <c r="W8" s="34" t="n">
        <v>44</v>
      </c>
      <c r="X8" s="34" t="n">
        <v>10</v>
      </c>
      <c r="Y8" s="34" t="n">
        <v>19</v>
      </c>
      <c r="Z8" s="34" t="n">
        <v>15</v>
      </c>
      <c r="AA8" s="34" t="n">
        <v>47</v>
      </c>
      <c r="AB8" s="34" t="n">
        <v>34</v>
      </c>
      <c r="AC8" s="34" t="n">
        <v>18</v>
      </c>
      <c r="AD8" s="34" t="n">
        <v>11</v>
      </c>
      <c r="AE8" s="34" t="n">
        <v>40</v>
      </c>
      <c r="AF8" s="34" t="n">
        <v>80</v>
      </c>
      <c r="AG8" s="34" t="n">
        <v>7</v>
      </c>
      <c r="AH8" s="34" t="n">
        <v>47</v>
      </c>
      <c r="AI8" s="34" t="n">
        <v>26</v>
      </c>
      <c r="AJ8" s="34" t="n">
        <v>96</v>
      </c>
      <c r="AK8" s="34" t="n">
        <v>31</v>
      </c>
      <c r="AL8" s="34" t="n">
        <v>6</v>
      </c>
      <c r="AM8" s="34" t="n">
        <v>5</v>
      </c>
      <c r="AN8" s="34" t="n">
        <v>24</v>
      </c>
      <c r="AO8" s="34" t="n">
        <v>6</v>
      </c>
      <c r="AP8" s="34" t="n">
        <v>54</v>
      </c>
      <c r="AQ8" s="34" t="n">
        <v>41</v>
      </c>
      <c r="AR8" s="34" t="n">
        <v>10</v>
      </c>
      <c r="AS8" s="34" t="n">
        <v>36</v>
      </c>
      <c r="AT8" s="34" t="n">
        <v>8</v>
      </c>
      <c r="AU8" s="34" t="n">
        <v>11</v>
      </c>
      <c r="AV8" s="34" t="n">
        <v>4</v>
      </c>
      <c r="AW8" s="34" t="n">
        <v>4</v>
      </c>
      <c r="AX8" s="34" t="n">
        <v>40</v>
      </c>
      <c r="AY8" s="34" t="n">
        <v>19</v>
      </c>
      <c r="AZ8" s="34" t="n">
        <v>57</v>
      </c>
      <c r="BA8" s="34" t="n">
        <v>60</v>
      </c>
      <c r="BB8" s="34" t="n">
        <v>53</v>
      </c>
      <c r="BC8" s="34" t="n">
        <v>56</v>
      </c>
      <c r="BD8" s="34" t="n">
        <v>67</v>
      </c>
      <c r="BE8" s="34" t="n">
        <v>55</v>
      </c>
      <c r="BF8" s="34" t="n">
        <v>50</v>
      </c>
      <c r="BG8" s="34" t="n">
        <v>82</v>
      </c>
      <c r="BH8" s="34" t="n">
        <v>119</v>
      </c>
      <c r="BI8" s="34" t="n">
        <v>75</v>
      </c>
      <c r="BJ8" s="34" t="n">
        <v>194</v>
      </c>
      <c r="BK8" s="34" t="n">
        <v>24</v>
      </c>
      <c r="BL8" s="34" t="n">
        <v>17</v>
      </c>
    </row>
    <row r="9" customFormat="false" ht="15" hidden="false" customHeight="false" outlineLevel="0" collapsed="false">
      <c r="A9" s="12" t="s">
        <v>198</v>
      </c>
      <c r="B9" s="34" t="n">
        <v>5</v>
      </c>
      <c r="C9" s="12" t="s">
        <v>211</v>
      </c>
      <c r="D9" s="12" t="s">
        <v>213</v>
      </c>
      <c r="E9" s="34" t="n">
        <v>333</v>
      </c>
      <c r="F9" s="34" t="n">
        <v>194</v>
      </c>
      <c r="G9" s="34" t="n">
        <v>139</v>
      </c>
      <c r="H9" s="34" t="n">
        <v>131</v>
      </c>
      <c r="I9" s="34" t="n">
        <v>70</v>
      </c>
      <c r="J9" s="34" t="n">
        <v>26</v>
      </c>
      <c r="K9" s="34" t="n">
        <v>44</v>
      </c>
      <c r="L9" s="34" t="n">
        <v>62</v>
      </c>
      <c r="M9" s="34" t="n">
        <v>47</v>
      </c>
      <c r="N9" s="34" t="n">
        <v>8</v>
      </c>
      <c r="O9" s="34" t="n">
        <v>83</v>
      </c>
      <c r="P9" s="34" t="n">
        <v>18</v>
      </c>
      <c r="Q9" s="34" t="n">
        <v>65</v>
      </c>
      <c r="R9" s="34" t="n">
        <v>19</v>
      </c>
      <c r="S9" s="34" t="n">
        <v>10</v>
      </c>
      <c r="T9" s="34" t="n">
        <v>1531</v>
      </c>
      <c r="U9" s="34" t="n">
        <v>64</v>
      </c>
      <c r="V9" s="34" t="n">
        <v>16</v>
      </c>
      <c r="W9" s="34" t="n">
        <v>59</v>
      </c>
      <c r="X9" s="34" t="n">
        <v>10</v>
      </c>
      <c r="Y9" s="34" t="n">
        <v>29</v>
      </c>
      <c r="Z9" s="34" t="n">
        <v>20</v>
      </c>
      <c r="AA9" s="34" t="n">
        <v>33</v>
      </c>
      <c r="AB9" s="34" t="n">
        <v>53</v>
      </c>
      <c r="AC9" s="34" t="n">
        <v>15</v>
      </c>
      <c r="AD9" s="34" t="n">
        <v>21</v>
      </c>
      <c r="AE9" s="34" t="n">
        <v>34</v>
      </c>
      <c r="AF9" s="34" t="n">
        <v>77</v>
      </c>
      <c r="AG9" s="34" t="n">
        <v>8</v>
      </c>
      <c r="AH9" s="34" t="n">
        <v>53</v>
      </c>
      <c r="AI9" s="34" t="n">
        <v>16</v>
      </c>
      <c r="AJ9" s="34" t="n">
        <v>135</v>
      </c>
      <c r="AK9" s="34" t="n">
        <v>62</v>
      </c>
      <c r="AL9" s="34" t="n">
        <v>8</v>
      </c>
      <c r="AM9" s="34" t="n">
        <v>4</v>
      </c>
      <c r="AN9" s="34" t="n">
        <v>17</v>
      </c>
      <c r="AO9" s="34" t="n">
        <v>6</v>
      </c>
      <c r="AP9" s="34" t="n">
        <v>61</v>
      </c>
      <c r="AQ9" s="34" t="n">
        <v>49</v>
      </c>
      <c r="AR9" s="34" t="n">
        <v>7</v>
      </c>
      <c r="AS9" s="34" t="n">
        <v>30</v>
      </c>
      <c r="AT9" s="34" t="n">
        <v>24</v>
      </c>
      <c r="AU9" s="34" t="n">
        <v>8</v>
      </c>
      <c r="AV9" s="34" t="n">
        <v>9</v>
      </c>
      <c r="AW9" s="34" t="n">
        <v>0</v>
      </c>
      <c r="AX9" s="34" t="n">
        <v>51</v>
      </c>
      <c r="AY9" s="34" t="n">
        <v>17</v>
      </c>
      <c r="AZ9" s="34" t="n">
        <v>47</v>
      </c>
      <c r="BA9" s="34" t="n">
        <v>62</v>
      </c>
      <c r="BB9" s="34" t="n">
        <v>45</v>
      </c>
      <c r="BC9" s="34" t="n">
        <v>51</v>
      </c>
      <c r="BD9" s="34" t="n">
        <v>79</v>
      </c>
      <c r="BE9" s="34" t="n">
        <v>59</v>
      </c>
      <c r="BF9" s="34" t="n">
        <v>45</v>
      </c>
      <c r="BG9" s="34" t="n">
        <v>67</v>
      </c>
      <c r="BH9" s="34" t="n">
        <v>98</v>
      </c>
      <c r="BI9" s="34" t="n">
        <v>110</v>
      </c>
      <c r="BJ9" s="34" t="n">
        <v>208</v>
      </c>
      <c r="BK9" s="34" t="n">
        <v>35</v>
      </c>
      <c r="BL9" s="34" t="n">
        <v>24</v>
      </c>
    </row>
    <row r="10" customFormat="false" ht="15" hidden="false" customHeight="false" outlineLevel="0" collapsed="false">
      <c r="A10" s="12" t="s">
        <v>195</v>
      </c>
      <c r="B10" s="34" t="n">
        <v>6</v>
      </c>
      <c r="C10" s="12" t="s">
        <v>211</v>
      </c>
      <c r="D10" s="12" t="s">
        <v>213</v>
      </c>
      <c r="E10" s="34" t="n">
        <v>344</v>
      </c>
      <c r="F10" s="34" t="n">
        <v>234</v>
      </c>
      <c r="G10" s="34" t="n">
        <v>110</v>
      </c>
      <c r="H10" s="34" t="n">
        <v>133</v>
      </c>
      <c r="I10" s="34" t="n">
        <v>79</v>
      </c>
      <c r="J10" s="34" t="n">
        <v>29</v>
      </c>
      <c r="K10" s="34" t="n">
        <v>50</v>
      </c>
      <c r="L10" s="34" t="n">
        <v>65</v>
      </c>
      <c r="M10" s="34" t="n">
        <v>36</v>
      </c>
      <c r="N10" s="34" t="n">
        <v>2</v>
      </c>
      <c r="O10" s="34" t="n">
        <v>126</v>
      </c>
      <c r="P10" s="34" t="n">
        <v>20</v>
      </c>
      <c r="Q10" s="34" t="n">
        <v>106</v>
      </c>
      <c r="R10" s="34" t="n">
        <v>19</v>
      </c>
      <c r="S10" s="34" t="n">
        <v>14</v>
      </c>
      <c r="T10" s="34" t="n">
        <v>1585</v>
      </c>
      <c r="U10" s="34" t="n">
        <v>44</v>
      </c>
      <c r="V10" s="34" t="n">
        <v>6</v>
      </c>
      <c r="W10" s="34" t="n">
        <v>40</v>
      </c>
      <c r="X10" s="34" t="n">
        <v>6</v>
      </c>
      <c r="Y10" s="34" t="n">
        <v>22</v>
      </c>
      <c r="Z10" s="34" t="n">
        <v>12</v>
      </c>
      <c r="AA10" s="34" t="n">
        <v>42</v>
      </c>
      <c r="AB10" s="34" t="n">
        <v>27</v>
      </c>
      <c r="AC10" s="34" t="n">
        <v>18</v>
      </c>
      <c r="AD10" s="34" t="n">
        <v>7</v>
      </c>
      <c r="AE10" s="34" t="n">
        <v>28</v>
      </c>
      <c r="AF10" s="34" t="n">
        <v>64</v>
      </c>
      <c r="AG10" s="34" t="n">
        <v>5</v>
      </c>
      <c r="AH10" s="34" t="n">
        <v>43</v>
      </c>
      <c r="AI10" s="34" t="n">
        <v>16</v>
      </c>
      <c r="AJ10" s="34" t="n">
        <v>88</v>
      </c>
      <c r="AK10" s="34" t="n">
        <v>18</v>
      </c>
      <c r="AL10" s="34" t="n">
        <v>4</v>
      </c>
      <c r="AM10" s="34" t="n">
        <v>6</v>
      </c>
      <c r="AN10" s="34" t="n">
        <v>15</v>
      </c>
      <c r="AO10" s="34" t="n">
        <v>1</v>
      </c>
      <c r="AP10" s="34" t="n">
        <v>60</v>
      </c>
      <c r="AQ10" s="34" t="n">
        <v>39</v>
      </c>
      <c r="AR10" s="34" t="n">
        <v>1</v>
      </c>
      <c r="AS10" s="34" t="n">
        <v>36</v>
      </c>
      <c r="AT10" s="34" t="n">
        <v>23</v>
      </c>
      <c r="AU10" s="34" t="n">
        <v>8</v>
      </c>
      <c r="AV10" s="34" t="n">
        <v>7</v>
      </c>
      <c r="AW10" s="34" t="n">
        <v>5</v>
      </c>
      <c r="AX10" s="34" t="n">
        <v>47</v>
      </c>
      <c r="AY10" s="34" t="n">
        <v>20</v>
      </c>
      <c r="AZ10" s="34" t="n">
        <v>40</v>
      </c>
      <c r="BA10" s="34" t="n">
        <v>68</v>
      </c>
      <c r="BB10" s="34" t="n">
        <v>45</v>
      </c>
      <c r="BC10" s="34" t="n">
        <v>62</v>
      </c>
      <c r="BD10" s="34" t="n">
        <v>82</v>
      </c>
      <c r="BE10" s="34" t="n">
        <v>53</v>
      </c>
      <c r="BF10" s="34" t="n">
        <v>56</v>
      </c>
      <c r="BG10" s="34" t="n">
        <v>71</v>
      </c>
      <c r="BH10" s="34" t="n">
        <v>144</v>
      </c>
      <c r="BI10" s="34" t="n">
        <v>91</v>
      </c>
      <c r="BJ10" s="34" t="n">
        <v>235</v>
      </c>
      <c r="BK10" s="34" t="n">
        <v>21</v>
      </c>
      <c r="BL10" s="34" t="n">
        <v>15</v>
      </c>
    </row>
    <row r="11" customFormat="false" ht="15" hidden="false" customHeight="false" outlineLevel="0" collapsed="false">
      <c r="A11" s="12" t="s">
        <v>196</v>
      </c>
      <c r="B11" s="34" t="n">
        <v>7</v>
      </c>
      <c r="C11" s="12" t="s">
        <v>211</v>
      </c>
      <c r="D11" s="12" t="s">
        <v>212</v>
      </c>
      <c r="E11" s="34" t="n">
        <v>362</v>
      </c>
      <c r="F11" s="34" t="n">
        <v>225</v>
      </c>
      <c r="G11" s="34" t="n">
        <v>137</v>
      </c>
      <c r="H11" s="34" t="n">
        <v>171</v>
      </c>
      <c r="I11" s="34" t="n">
        <v>111</v>
      </c>
      <c r="J11" s="34" t="n">
        <v>29</v>
      </c>
      <c r="K11" s="34" t="n">
        <v>82</v>
      </c>
      <c r="L11" s="34" t="n">
        <v>88</v>
      </c>
      <c r="M11" s="34" t="n">
        <v>43</v>
      </c>
      <c r="N11" s="34" t="n">
        <v>11</v>
      </c>
      <c r="O11" s="34" t="n">
        <v>80</v>
      </c>
      <c r="P11" s="34" t="n">
        <v>7</v>
      </c>
      <c r="Q11" s="34" t="n">
        <v>73</v>
      </c>
      <c r="R11" s="34" t="n">
        <v>18</v>
      </c>
      <c r="S11" s="34" t="n">
        <v>11</v>
      </c>
      <c r="T11" s="34" t="n">
        <v>1615</v>
      </c>
      <c r="U11" s="34" t="n">
        <v>63</v>
      </c>
      <c r="V11" s="34" t="n">
        <v>10</v>
      </c>
      <c r="W11" s="34" t="n">
        <v>50</v>
      </c>
      <c r="X11" s="34" t="n">
        <v>11</v>
      </c>
      <c r="Y11" s="34" t="n">
        <v>22</v>
      </c>
      <c r="Z11" s="34" t="n">
        <v>17</v>
      </c>
      <c r="AA11" s="34" t="n">
        <v>64</v>
      </c>
      <c r="AB11" s="34" t="n">
        <v>34</v>
      </c>
      <c r="AC11" s="34" t="n">
        <v>27</v>
      </c>
      <c r="AD11" s="34" t="n">
        <v>10</v>
      </c>
      <c r="AE11" s="34" t="n">
        <v>31</v>
      </c>
      <c r="AF11" s="34" t="n">
        <v>89</v>
      </c>
      <c r="AG11" s="34" t="n">
        <v>4</v>
      </c>
      <c r="AH11" s="34" t="n">
        <v>52</v>
      </c>
      <c r="AI11" s="34" t="n">
        <v>33</v>
      </c>
      <c r="AJ11" s="34" t="n">
        <v>120</v>
      </c>
      <c r="AK11" s="34" t="n">
        <v>62</v>
      </c>
      <c r="AL11" s="34" t="n">
        <v>5</v>
      </c>
      <c r="AM11" s="34" t="n">
        <v>5</v>
      </c>
      <c r="AN11" s="34" t="n">
        <v>14</v>
      </c>
      <c r="AO11" s="34" t="n">
        <v>9</v>
      </c>
      <c r="AP11" s="34" t="n">
        <v>48</v>
      </c>
      <c r="AQ11" s="34" t="n">
        <v>37</v>
      </c>
      <c r="AR11" s="34" t="n">
        <v>8</v>
      </c>
      <c r="AS11" s="34" t="n">
        <v>33</v>
      </c>
      <c r="AT11" s="34" t="n">
        <v>7</v>
      </c>
      <c r="AU11" s="34" t="n">
        <v>13</v>
      </c>
      <c r="AV11" s="34" t="n">
        <v>8</v>
      </c>
      <c r="AW11" s="34" t="n">
        <v>6</v>
      </c>
      <c r="AX11" s="34" t="n">
        <v>42</v>
      </c>
      <c r="AY11" s="34" t="n">
        <v>27</v>
      </c>
      <c r="AZ11" s="34" t="n">
        <v>48</v>
      </c>
      <c r="BA11" s="34" t="n">
        <v>67</v>
      </c>
      <c r="BB11" s="34" t="n">
        <v>56</v>
      </c>
      <c r="BC11" s="34" t="n">
        <v>58</v>
      </c>
      <c r="BD11" s="34" t="n">
        <v>81</v>
      </c>
      <c r="BE11" s="34" t="n">
        <v>50</v>
      </c>
      <c r="BF11" s="34" t="n">
        <v>41</v>
      </c>
      <c r="BG11" s="34" t="n">
        <v>70</v>
      </c>
      <c r="BH11" s="34" t="n">
        <v>131</v>
      </c>
      <c r="BI11" s="34" t="n">
        <v>112</v>
      </c>
      <c r="BJ11" s="34" t="n">
        <v>243</v>
      </c>
      <c r="BK11" s="34" t="n">
        <v>25</v>
      </c>
      <c r="BL11" s="34" t="n">
        <v>14</v>
      </c>
    </row>
    <row r="12" customFormat="false" ht="15" hidden="false" customHeight="false" outlineLevel="0" collapsed="false">
      <c r="A12" s="12" t="s">
        <v>194</v>
      </c>
      <c r="B12" s="34" t="n">
        <v>8</v>
      </c>
      <c r="C12" s="12" t="s">
        <v>211</v>
      </c>
      <c r="D12" s="12" t="s">
        <v>213</v>
      </c>
      <c r="E12" s="34" t="n">
        <v>330</v>
      </c>
      <c r="F12" s="34" t="n">
        <v>210</v>
      </c>
      <c r="G12" s="34" t="n">
        <v>120</v>
      </c>
      <c r="H12" s="34" t="n">
        <v>150</v>
      </c>
      <c r="I12" s="34" t="n">
        <v>84</v>
      </c>
      <c r="J12" s="34" t="n">
        <v>29</v>
      </c>
      <c r="K12" s="34" t="n">
        <v>55</v>
      </c>
      <c r="L12" s="34" t="n">
        <v>71</v>
      </c>
      <c r="M12" s="34" t="n">
        <v>57</v>
      </c>
      <c r="N12" s="34" t="n">
        <v>10</v>
      </c>
      <c r="O12" s="34" t="n">
        <v>82</v>
      </c>
      <c r="P12" s="34" t="n">
        <v>17</v>
      </c>
      <c r="Q12" s="34" t="n">
        <v>65</v>
      </c>
      <c r="R12" s="34" t="n">
        <v>12</v>
      </c>
      <c r="S12" s="34" t="n">
        <v>8</v>
      </c>
      <c r="T12" s="34" t="n">
        <v>1458</v>
      </c>
      <c r="U12" s="34" t="n">
        <v>73</v>
      </c>
      <c r="V12" s="34" t="n">
        <v>15</v>
      </c>
      <c r="W12" s="34" t="n">
        <v>45</v>
      </c>
      <c r="X12" s="34" t="n">
        <v>13</v>
      </c>
      <c r="Y12" s="34" t="n">
        <v>20</v>
      </c>
      <c r="Z12" s="34" t="n">
        <v>12</v>
      </c>
      <c r="AA12" s="34" t="n">
        <v>38</v>
      </c>
      <c r="AB12" s="34" t="n">
        <v>37</v>
      </c>
      <c r="AC12" s="34" t="n">
        <v>27</v>
      </c>
      <c r="AD12" s="34" t="n">
        <v>14</v>
      </c>
      <c r="AE12" s="34" t="n">
        <v>40</v>
      </c>
      <c r="AF12" s="34" t="n">
        <v>78</v>
      </c>
      <c r="AG12" s="34" t="n">
        <v>4</v>
      </c>
      <c r="AH12" s="34" t="n">
        <v>52</v>
      </c>
      <c r="AI12" s="34" t="n">
        <v>22</v>
      </c>
      <c r="AJ12" s="34" t="n">
        <v>106</v>
      </c>
      <c r="AK12" s="34" t="n">
        <v>39</v>
      </c>
      <c r="AL12" s="34" t="n">
        <v>8</v>
      </c>
      <c r="AM12" s="34" t="n">
        <v>8</v>
      </c>
      <c r="AN12" s="34" t="n">
        <v>14</v>
      </c>
      <c r="AO12" s="34" t="n">
        <v>4</v>
      </c>
      <c r="AP12" s="34" t="n">
        <v>51</v>
      </c>
      <c r="AQ12" s="34" t="n">
        <v>40</v>
      </c>
      <c r="AR12" s="34" t="n">
        <v>8</v>
      </c>
      <c r="AS12" s="34" t="n">
        <v>33</v>
      </c>
      <c r="AT12" s="34" t="n">
        <v>10</v>
      </c>
      <c r="AU12" s="34" t="n">
        <v>10</v>
      </c>
      <c r="AV12" s="34" t="n">
        <v>7</v>
      </c>
      <c r="AW12" s="34" t="n">
        <v>3</v>
      </c>
      <c r="AX12" s="34" t="n">
        <v>52</v>
      </c>
      <c r="AY12" s="34" t="n">
        <v>20</v>
      </c>
      <c r="AZ12" s="34" t="n">
        <v>50</v>
      </c>
      <c r="BA12" s="34" t="n">
        <v>58</v>
      </c>
      <c r="BB12" s="34" t="n">
        <v>26</v>
      </c>
      <c r="BC12" s="34" t="n">
        <v>51</v>
      </c>
      <c r="BD12" s="34" t="n">
        <v>70</v>
      </c>
      <c r="BE12" s="34" t="n">
        <v>62</v>
      </c>
      <c r="BF12" s="34" t="n">
        <v>54</v>
      </c>
      <c r="BG12" s="34" t="n">
        <v>71</v>
      </c>
      <c r="BH12" s="34" t="n">
        <v>107</v>
      </c>
      <c r="BI12" s="34" t="n">
        <v>84</v>
      </c>
      <c r="BJ12" s="34" t="n">
        <v>191</v>
      </c>
      <c r="BK12" s="34" t="n">
        <v>28</v>
      </c>
      <c r="BL12" s="34" t="n">
        <v>20</v>
      </c>
    </row>
    <row r="13" customFormat="false" ht="15" hidden="false" customHeight="false" outlineLevel="0" collapsed="false">
      <c r="A13" s="12" t="s">
        <v>201</v>
      </c>
      <c r="B13" s="34" t="n">
        <v>9</v>
      </c>
      <c r="C13" s="12" t="s">
        <v>211</v>
      </c>
      <c r="D13" s="12" t="s">
        <v>213</v>
      </c>
      <c r="E13" s="34" t="n">
        <v>292</v>
      </c>
      <c r="F13" s="34" t="n">
        <v>175</v>
      </c>
      <c r="G13" s="34" t="n">
        <v>117</v>
      </c>
      <c r="H13" s="34" t="n">
        <v>114</v>
      </c>
      <c r="I13" s="34" t="n">
        <v>69</v>
      </c>
      <c r="J13" s="34" t="n">
        <v>31</v>
      </c>
      <c r="K13" s="34" t="n">
        <v>38</v>
      </c>
      <c r="L13" s="34" t="n">
        <v>66</v>
      </c>
      <c r="M13" s="34" t="n">
        <v>31</v>
      </c>
      <c r="N13" s="34" t="n">
        <v>12</v>
      </c>
      <c r="O13" s="34" t="n">
        <v>79</v>
      </c>
      <c r="P13" s="34" t="n">
        <v>8</v>
      </c>
      <c r="Q13" s="34" t="n">
        <v>71</v>
      </c>
      <c r="R13" s="34" t="n">
        <v>21</v>
      </c>
      <c r="S13" s="34" t="n">
        <v>4</v>
      </c>
      <c r="T13" s="34" t="n">
        <v>1269</v>
      </c>
      <c r="U13" s="34" t="n">
        <v>40</v>
      </c>
      <c r="V13" s="34" t="n">
        <v>9</v>
      </c>
      <c r="W13" s="34" t="n">
        <v>39</v>
      </c>
      <c r="X13" s="34" t="n">
        <v>17</v>
      </c>
      <c r="Y13" s="34" t="n">
        <v>16</v>
      </c>
      <c r="Z13" s="34" t="n">
        <v>6</v>
      </c>
      <c r="AA13" s="34" t="n">
        <v>34</v>
      </c>
      <c r="AB13" s="34" t="n">
        <v>52</v>
      </c>
      <c r="AC13" s="34" t="n">
        <v>28</v>
      </c>
      <c r="AD13" s="34" t="n">
        <v>17</v>
      </c>
      <c r="AE13" s="34" t="n">
        <v>41</v>
      </c>
      <c r="AF13" s="34" t="n">
        <v>91</v>
      </c>
      <c r="AG13" s="34" t="n">
        <v>8</v>
      </c>
      <c r="AH13" s="34" t="n">
        <v>59</v>
      </c>
      <c r="AI13" s="34" t="n">
        <v>24</v>
      </c>
      <c r="AJ13" s="34" t="n">
        <v>136</v>
      </c>
      <c r="AK13" s="34" t="n">
        <v>66</v>
      </c>
      <c r="AL13" s="34" t="n">
        <v>19</v>
      </c>
      <c r="AM13" s="34" t="n">
        <v>2</v>
      </c>
      <c r="AN13" s="34" t="n">
        <v>12</v>
      </c>
      <c r="AO13" s="34" t="n">
        <v>10</v>
      </c>
      <c r="AP13" s="34" t="n">
        <v>49</v>
      </c>
      <c r="AQ13" s="34" t="n">
        <v>32</v>
      </c>
      <c r="AR13" s="34" t="n">
        <v>4</v>
      </c>
      <c r="AS13" s="34" t="n">
        <v>31</v>
      </c>
      <c r="AT13" s="34" t="n">
        <v>14</v>
      </c>
      <c r="AU13" s="34" t="n">
        <v>6</v>
      </c>
      <c r="AV13" s="34" t="n">
        <v>1</v>
      </c>
      <c r="AW13" s="34" t="n">
        <v>3</v>
      </c>
      <c r="AX13" s="34" t="n">
        <v>29</v>
      </c>
      <c r="AY13" s="34" t="n">
        <v>10</v>
      </c>
      <c r="AZ13" s="34" t="n">
        <v>60</v>
      </c>
      <c r="BA13" s="34" t="n">
        <v>60</v>
      </c>
      <c r="BB13" s="34" t="n">
        <v>29</v>
      </c>
      <c r="BC13" s="34" t="n">
        <v>53</v>
      </c>
      <c r="BD13" s="34" t="n">
        <v>70</v>
      </c>
      <c r="BE13" s="34" t="n">
        <v>64</v>
      </c>
      <c r="BF13" s="34" t="n">
        <v>50</v>
      </c>
      <c r="BG13" s="34" t="n">
        <v>59</v>
      </c>
      <c r="BH13" s="34" t="n">
        <v>92</v>
      </c>
      <c r="BI13" s="34" t="n">
        <v>83</v>
      </c>
      <c r="BJ13" s="34" t="n">
        <v>175</v>
      </c>
      <c r="BK13" s="34" t="n">
        <v>25</v>
      </c>
      <c r="BL13" s="34" t="n">
        <v>26</v>
      </c>
    </row>
    <row r="14" customFormat="false" ht="15" hidden="false" customHeight="false" outlineLevel="0" collapsed="false">
      <c r="A14" s="12" t="s">
        <v>200</v>
      </c>
      <c r="B14" s="34" t="n">
        <v>10</v>
      </c>
      <c r="C14" s="12" t="s">
        <v>211</v>
      </c>
      <c r="D14" s="12" t="s">
        <v>213</v>
      </c>
      <c r="E14" s="34" t="n">
        <v>335</v>
      </c>
      <c r="F14" s="34" t="n">
        <v>202</v>
      </c>
      <c r="G14" s="34" t="n">
        <v>133</v>
      </c>
      <c r="H14" s="34" t="n">
        <v>132</v>
      </c>
      <c r="I14" s="34" t="n">
        <v>92</v>
      </c>
      <c r="J14" s="34" t="n">
        <v>42</v>
      </c>
      <c r="K14" s="34" t="n">
        <v>50</v>
      </c>
      <c r="L14" s="34" t="n">
        <v>74</v>
      </c>
      <c r="M14" s="34" t="n">
        <v>40</v>
      </c>
      <c r="N14" s="34" t="n">
        <v>8</v>
      </c>
      <c r="O14" s="34" t="n">
        <v>87</v>
      </c>
      <c r="P14" s="34" t="n">
        <v>7</v>
      </c>
      <c r="Q14" s="34" t="n">
        <v>80</v>
      </c>
      <c r="R14" s="34" t="n">
        <v>10</v>
      </c>
      <c r="S14" s="34" t="n">
        <v>3</v>
      </c>
      <c r="T14" s="34" t="n">
        <v>1443</v>
      </c>
      <c r="U14" s="34" t="n">
        <v>35</v>
      </c>
      <c r="V14" s="34" t="n">
        <v>8</v>
      </c>
      <c r="W14" s="34" t="n">
        <v>37</v>
      </c>
      <c r="X14" s="34" t="n">
        <v>11</v>
      </c>
      <c r="Y14" s="34" t="n">
        <v>16</v>
      </c>
      <c r="Z14" s="34" t="n">
        <v>10</v>
      </c>
      <c r="AA14" s="34" t="n">
        <v>33</v>
      </c>
      <c r="AB14" s="34" t="n">
        <v>39</v>
      </c>
      <c r="AC14" s="34" t="n">
        <v>21</v>
      </c>
      <c r="AD14" s="34" t="n">
        <v>10</v>
      </c>
      <c r="AE14" s="34" t="n">
        <v>44</v>
      </c>
      <c r="AF14" s="34" t="n">
        <v>75</v>
      </c>
      <c r="AG14" s="34" t="n">
        <v>5</v>
      </c>
      <c r="AH14" s="34" t="n">
        <v>55</v>
      </c>
      <c r="AI14" s="34" t="n">
        <v>15</v>
      </c>
      <c r="AJ14" s="34" t="n">
        <v>130</v>
      </c>
      <c r="AK14" s="34" t="n">
        <v>59</v>
      </c>
      <c r="AL14" s="34" t="n">
        <v>13</v>
      </c>
      <c r="AM14" s="34" t="n">
        <v>3</v>
      </c>
      <c r="AN14" s="34" t="n">
        <v>16</v>
      </c>
      <c r="AO14" s="34" t="n">
        <v>12</v>
      </c>
      <c r="AP14" s="34" t="n">
        <v>55</v>
      </c>
      <c r="AQ14" s="34" t="n">
        <v>37</v>
      </c>
      <c r="AR14" s="34" t="n">
        <v>10</v>
      </c>
      <c r="AS14" s="34" t="n">
        <v>37</v>
      </c>
      <c r="AT14" s="34" t="n">
        <v>8</v>
      </c>
      <c r="AU14" s="34" t="n">
        <v>7</v>
      </c>
      <c r="AV14" s="34" t="n">
        <v>7</v>
      </c>
      <c r="AW14" s="34" t="n">
        <v>1</v>
      </c>
      <c r="AX14" s="34" t="n">
        <v>45</v>
      </c>
      <c r="AY14" s="34" t="n">
        <v>15</v>
      </c>
      <c r="AZ14" s="34" t="n">
        <v>46</v>
      </c>
      <c r="BA14" s="34" t="n">
        <v>65</v>
      </c>
      <c r="BB14" s="34" t="n">
        <v>36</v>
      </c>
      <c r="BC14" s="34" t="n">
        <v>60</v>
      </c>
      <c r="BD14" s="34" t="n">
        <v>71</v>
      </c>
      <c r="BE14" s="34" t="n">
        <v>59</v>
      </c>
      <c r="BF14" s="34" t="n">
        <v>74</v>
      </c>
      <c r="BG14" s="34" t="n">
        <v>80</v>
      </c>
      <c r="BH14" s="34" t="n">
        <v>122</v>
      </c>
      <c r="BI14" s="34" t="n">
        <v>95</v>
      </c>
      <c r="BJ14" s="34" t="n">
        <v>217</v>
      </c>
      <c r="BK14" s="34" t="n">
        <v>22</v>
      </c>
      <c r="BL14" s="34" t="n">
        <v>29</v>
      </c>
    </row>
    <row r="15" customFormat="false" ht="15" hidden="false" customHeight="false" outlineLevel="0" collapsed="false">
      <c r="A15" s="12" t="s">
        <v>199</v>
      </c>
      <c r="B15" s="34" t="n">
        <v>11</v>
      </c>
      <c r="C15" s="12" t="s">
        <v>211</v>
      </c>
      <c r="D15" s="12" t="s">
        <v>213</v>
      </c>
      <c r="E15" s="34" t="n">
        <v>308</v>
      </c>
      <c r="F15" s="34" t="n">
        <v>197</v>
      </c>
      <c r="G15" s="34" t="n">
        <v>111</v>
      </c>
      <c r="H15" s="34" t="n">
        <v>154</v>
      </c>
      <c r="I15" s="34" t="n">
        <v>103</v>
      </c>
      <c r="J15" s="34" t="n">
        <v>38</v>
      </c>
      <c r="K15" s="34" t="n">
        <v>65</v>
      </c>
      <c r="L15" s="34" t="n">
        <v>81</v>
      </c>
      <c r="M15" s="34" t="n">
        <v>29</v>
      </c>
      <c r="N15" s="34" t="n">
        <v>4</v>
      </c>
      <c r="O15" s="34" t="n">
        <v>57</v>
      </c>
      <c r="P15" s="34" t="n">
        <v>15</v>
      </c>
      <c r="Q15" s="34" t="n">
        <v>42</v>
      </c>
      <c r="R15" s="34" t="n">
        <v>19</v>
      </c>
      <c r="S15" s="34" t="n">
        <v>8</v>
      </c>
      <c r="T15" s="34" t="n">
        <v>1467</v>
      </c>
      <c r="U15" s="34" t="n">
        <v>77</v>
      </c>
      <c r="V15" s="34" t="n">
        <v>21</v>
      </c>
      <c r="W15" s="34" t="n">
        <v>55</v>
      </c>
      <c r="X15" s="34" t="n">
        <v>14</v>
      </c>
      <c r="Y15" s="34" t="n">
        <v>23</v>
      </c>
      <c r="Z15" s="34" t="n">
        <v>18</v>
      </c>
      <c r="AA15" s="34" t="n">
        <v>51</v>
      </c>
      <c r="AB15" s="34" t="n">
        <v>41</v>
      </c>
      <c r="AC15" s="34" t="n">
        <v>25</v>
      </c>
      <c r="AD15" s="34" t="n">
        <v>20</v>
      </c>
      <c r="AE15" s="34" t="n">
        <v>34</v>
      </c>
      <c r="AF15" s="34" t="n">
        <v>88</v>
      </c>
      <c r="AG15" s="34" t="n">
        <v>9</v>
      </c>
      <c r="AH15" s="34" t="n">
        <v>48</v>
      </c>
      <c r="AI15" s="34" t="n">
        <v>31</v>
      </c>
      <c r="AJ15" s="34" t="n">
        <v>128</v>
      </c>
      <c r="AK15" s="34" t="n">
        <v>39</v>
      </c>
      <c r="AL15" s="34" t="n">
        <v>6</v>
      </c>
      <c r="AM15" s="34" t="n">
        <v>6</v>
      </c>
      <c r="AN15" s="34" t="n">
        <v>15</v>
      </c>
      <c r="AO15" s="34" t="n">
        <v>12</v>
      </c>
      <c r="AP15" s="34" t="n">
        <v>77</v>
      </c>
      <c r="AQ15" s="34" t="n">
        <v>64</v>
      </c>
      <c r="AR15" s="34" t="n">
        <v>16</v>
      </c>
      <c r="AS15" s="34" t="n">
        <v>42</v>
      </c>
      <c r="AT15" s="34" t="n">
        <v>19</v>
      </c>
      <c r="AU15" s="34" t="n">
        <v>8</v>
      </c>
      <c r="AV15" s="34" t="n">
        <v>9</v>
      </c>
      <c r="AW15" s="34" t="n">
        <v>1</v>
      </c>
      <c r="AX15" s="34" t="n">
        <v>35</v>
      </c>
      <c r="AY15" s="34" t="n">
        <v>18</v>
      </c>
      <c r="AZ15" s="34" t="n">
        <v>44</v>
      </c>
      <c r="BA15" s="34" t="n">
        <v>53</v>
      </c>
      <c r="BB15" s="34" t="n">
        <v>33</v>
      </c>
      <c r="BC15" s="34" t="n">
        <v>41</v>
      </c>
      <c r="BD15" s="34" t="n">
        <v>73</v>
      </c>
      <c r="BE15" s="34" t="n">
        <v>64</v>
      </c>
      <c r="BF15" s="34" t="n">
        <v>46</v>
      </c>
      <c r="BG15" s="34" t="n">
        <v>75</v>
      </c>
      <c r="BH15" s="34" t="n">
        <v>81</v>
      </c>
      <c r="BI15" s="34" t="n">
        <v>82</v>
      </c>
      <c r="BJ15" s="34" t="n">
        <v>163</v>
      </c>
      <c r="BK15" s="34" t="n">
        <v>35</v>
      </c>
      <c r="BL15" s="34" t="n">
        <v>19</v>
      </c>
    </row>
    <row r="16" customFormat="false" ht="15" hidden="false" customHeight="false" outlineLevel="0" collapsed="false">
      <c r="A16" s="12" t="s">
        <v>202</v>
      </c>
      <c r="B16" s="34" t="n">
        <v>12</v>
      </c>
      <c r="C16" s="12" t="s">
        <v>211</v>
      </c>
      <c r="D16" s="12" t="s">
        <v>213</v>
      </c>
      <c r="E16" s="34" t="n">
        <v>345</v>
      </c>
      <c r="F16" s="34" t="n">
        <v>227</v>
      </c>
      <c r="G16" s="34" t="n">
        <v>118</v>
      </c>
      <c r="H16" s="34" t="n">
        <v>129</v>
      </c>
      <c r="I16" s="34" t="n">
        <v>75</v>
      </c>
      <c r="J16" s="34" t="n">
        <v>25</v>
      </c>
      <c r="K16" s="34" t="n">
        <v>50</v>
      </c>
      <c r="L16" s="34" t="n">
        <v>75</v>
      </c>
      <c r="M16" s="34" t="n">
        <v>39</v>
      </c>
      <c r="N16" s="34" t="n">
        <v>6</v>
      </c>
      <c r="O16" s="34" t="n">
        <v>128</v>
      </c>
      <c r="P16" s="34" t="n">
        <v>18</v>
      </c>
      <c r="Q16" s="34" t="n">
        <v>110</v>
      </c>
      <c r="R16" s="34" t="n">
        <v>24</v>
      </c>
      <c r="S16" s="34" t="n">
        <v>11</v>
      </c>
      <c r="T16" s="34" t="n">
        <v>1547</v>
      </c>
      <c r="U16" s="34" t="n">
        <v>52</v>
      </c>
      <c r="V16" s="34" t="n">
        <v>7</v>
      </c>
      <c r="W16" s="34" t="n">
        <v>34</v>
      </c>
      <c r="X16" s="34" t="n">
        <v>10</v>
      </c>
      <c r="Y16" s="34" t="n">
        <v>11</v>
      </c>
      <c r="Z16" s="34" t="n">
        <v>13</v>
      </c>
      <c r="AA16" s="34" t="n">
        <v>38</v>
      </c>
      <c r="AB16" s="34" t="n">
        <v>44</v>
      </c>
      <c r="AC16" s="34" t="n">
        <v>30</v>
      </c>
      <c r="AD16" s="34" t="n">
        <v>9</v>
      </c>
      <c r="AE16" s="34" t="n">
        <v>40</v>
      </c>
      <c r="AF16" s="34" t="n">
        <v>75</v>
      </c>
      <c r="AG16" s="34" t="n">
        <v>6</v>
      </c>
      <c r="AH16" s="34" t="n">
        <v>49</v>
      </c>
      <c r="AI16" s="34" t="n">
        <v>20</v>
      </c>
      <c r="AJ16" s="34" t="n">
        <v>90</v>
      </c>
      <c r="AK16" s="34" t="n">
        <v>44</v>
      </c>
      <c r="AL16" s="34" t="n">
        <v>10</v>
      </c>
      <c r="AM16" s="34" t="n">
        <v>4</v>
      </c>
      <c r="AN16" s="34" t="n">
        <v>18</v>
      </c>
      <c r="AO16" s="34" t="n">
        <v>5</v>
      </c>
      <c r="AP16" s="34" t="n">
        <v>32</v>
      </c>
      <c r="AQ16" s="34" t="n">
        <v>24</v>
      </c>
      <c r="AR16" s="34" t="n">
        <v>6</v>
      </c>
      <c r="AS16" s="34" t="n">
        <v>22</v>
      </c>
      <c r="AT16" s="34" t="n">
        <v>4</v>
      </c>
      <c r="AU16" s="34" t="n">
        <v>9</v>
      </c>
      <c r="AV16" s="34" t="n">
        <v>6</v>
      </c>
      <c r="AW16" s="34" t="n">
        <v>4</v>
      </c>
      <c r="AX16" s="34" t="n">
        <v>50</v>
      </c>
      <c r="AY16" s="34" t="n">
        <v>19</v>
      </c>
      <c r="AZ16" s="34" t="n">
        <v>47</v>
      </c>
      <c r="BA16" s="34" t="n">
        <v>67</v>
      </c>
      <c r="BB16" s="34" t="n">
        <v>47</v>
      </c>
      <c r="BC16" s="34" t="n">
        <v>64</v>
      </c>
      <c r="BD16" s="34" t="n">
        <v>72</v>
      </c>
      <c r="BE16" s="34" t="n">
        <v>76</v>
      </c>
      <c r="BF16" s="34" t="n">
        <v>68</v>
      </c>
      <c r="BG16" s="34" t="n">
        <v>89</v>
      </c>
      <c r="BH16" s="34" t="n">
        <v>146</v>
      </c>
      <c r="BI16" s="34" t="n">
        <v>86</v>
      </c>
      <c r="BJ16" s="34" t="n">
        <v>232</v>
      </c>
      <c r="BK16" s="34" t="n">
        <v>26</v>
      </c>
      <c r="BL16" s="34" t="n">
        <v>30</v>
      </c>
    </row>
    <row r="17" customFormat="false" ht="15" hidden="false" customHeight="false" outlineLevel="0" collapsed="false">
      <c r="A17" s="12" t="s">
        <v>203</v>
      </c>
      <c r="B17" s="34" t="n">
        <v>13</v>
      </c>
      <c r="C17" s="12" t="s">
        <v>211</v>
      </c>
      <c r="D17" s="12" t="s">
        <v>213</v>
      </c>
      <c r="E17" s="34" t="n">
        <v>348</v>
      </c>
      <c r="F17" s="34" t="n">
        <v>239</v>
      </c>
      <c r="G17" s="34" t="n">
        <v>109</v>
      </c>
      <c r="H17" s="34" t="n">
        <v>131</v>
      </c>
      <c r="I17" s="34" t="n">
        <v>70</v>
      </c>
      <c r="J17" s="34" t="n">
        <v>20</v>
      </c>
      <c r="K17" s="34" t="n">
        <v>50</v>
      </c>
      <c r="L17" s="34" t="n">
        <v>64</v>
      </c>
      <c r="M17" s="34" t="n">
        <v>37</v>
      </c>
      <c r="N17" s="34" t="n">
        <v>5</v>
      </c>
      <c r="O17" s="34" t="n">
        <v>130</v>
      </c>
      <c r="P17" s="34" t="n">
        <v>14</v>
      </c>
      <c r="Q17" s="34" t="n">
        <v>116</v>
      </c>
      <c r="R17" s="34" t="n">
        <v>19</v>
      </c>
      <c r="S17" s="34" t="n">
        <v>3</v>
      </c>
      <c r="T17" s="34" t="n">
        <v>1531</v>
      </c>
      <c r="U17" s="34" t="n">
        <v>61</v>
      </c>
      <c r="V17" s="34" t="n">
        <v>12</v>
      </c>
      <c r="W17" s="34" t="n">
        <v>41</v>
      </c>
      <c r="X17" s="34" t="n">
        <v>6</v>
      </c>
      <c r="Y17" s="34" t="n">
        <v>22</v>
      </c>
      <c r="Z17" s="34" t="n">
        <v>13</v>
      </c>
      <c r="AA17" s="34" t="n">
        <v>29</v>
      </c>
      <c r="AB17" s="34" t="n">
        <v>42</v>
      </c>
      <c r="AC17" s="34" t="n">
        <v>20</v>
      </c>
      <c r="AD17" s="34" t="n">
        <v>16</v>
      </c>
      <c r="AE17" s="34" t="n">
        <v>26</v>
      </c>
      <c r="AF17" s="34" t="n">
        <v>70</v>
      </c>
      <c r="AG17" s="34" t="n">
        <v>2</v>
      </c>
      <c r="AH17" s="34" t="n">
        <v>51</v>
      </c>
      <c r="AI17" s="34" t="n">
        <v>17</v>
      </c>
      <c r="AJ17" s="34" t="n">
        <v>108</v>
      </c>
      <c r="AK17" s="34" t="n">
        <v>44</v>
      </c>
      <c r="AL17" s="34" t="n">
        <v>8</v>
      </c>
      <c r="AM17" s="34" t="n">
        <v>2</v>
      </c>
      <c r="AN17" s="34" t="n">
        <v>10</v>
      </c>
      <c r="AO17" s="34" t="n">
        <v>7</v>
      </c>
      <c r="AP17" s="34" t="n">
        <v>54</v>
      </c>
      <c r="AQ17" s="34" t="n">
        <v>44</v>
      </c>
      <c r="AR17" s="34" t="n">
        <v>7</v>
      </c>
      <c r="AS17" s="34" t="n">
        <v>31</v>
      </c>
      <c r="AT17" s="34" t="n">
        <v>16</v>
      </c>
      <c r="AU17" s="34" t="n">
        <v>1</v>
      </c>
      <c r="AV17" s="34" t="n">
        <v>4</v>
      </c>
      <c r="AW17" s="34" t="n">
        <v>2</v>
      </c>
      <c r="AX17" s="34" t="n">
        <v>24</v>
      </c>
      <c r="AY17" s="34" t="n">
        <v>7</v>
      </c>
      <c r="AZ17" s="34" t="n">
        <v>14</v>
      </c>
      <c r="BA17" s="34" t="n">
        <v>67</v>
      </c>
      <c r="BB17" s="34" t="n">
        <v>45</v>
      </c>
      <c r="BC17" s="34" t="n">
        <v>64</v>
      </c>
      <c r="BD17" s="34" t="n">
        <v>73</v>
      </c>
      <c r="BE17" s="34" t="n">
        <v>44</v>
      </c>
      <c r="BF17" s="34" t="n">
        <v>57</v>
      </c>
      <c r="BG17" s="34" t="n">
        <v>94</v>
      </c>
      <c r="BH17" s="34" t="n">
        <v>152</v>
      </c>
      <c r="BI17" s="34" t="n">
        <v>80</v>
      </c>
      <c r="BJ17" s="34" t="n">
        <v>232</v>
      </c>
      <c r="BK17" s="34" t="n">
        <v>18</v>
      </c>
      <c r="BL17" s="34" t="n">
        <v>24</v>
      </c>
    </row>
    <row r="18" customFormat="false" ht="15" hidden="false" customHeight="false" outlineLevel="0" collapsed="false">
      <c r="A18" s="12" t="s">
        <v>197</v>
      </c>
      <c r="B18" s="34" t="n">
        <v>14</v>
      </c>
      <c r="C18" s="12" t="s">
        <v>211</v>
      </c>
      <c r="D18" s="12" t="s">
        <v>213</v>
      </c>
      <c r="E18" s="34" t="n">
        <v>376</v>
      </c>
      <c r="F18" s="34" t="n">
        <v>215</v>
      </c>
      <c r="G18" s="34" t="n">
        <v>161</v>
      </c>
      <c r="H18" s="34" t="n">
        <v>163</v>
      </c>
      <c r="I18" s="34" t="n">
        <v>107</v>
      </c>
      <c r="J18" s="34" t="n">
        <v>46</v>
      </c>
      <c r="K18" s="34" t="n">
        <v>61</v>
      </c>
      <c r="L18" s="34" t="n">
        <v>78</v>
      </c>
      <c r="M18" s="34" t="n">
        <v>45</v>
      </c>
      <c r="N18" s="34" t="n">
        <v>14</v>
      </c>
      <c r="O18" s="34" t="n">
        <v>93</v>
      </c>
      <c r="P18" s="34" t="n">
        <v>12</v>
      </c>
      <c r="Q18" s="34" t="n">
        <v>81</v>
      </c>
      <c r="R18" s="34" t="n">
        <v>18</v>
      </c>
      <c r="S18" s="34" t="n">
        <v>12</v>
      </c>
      <c r="T18" s="34" t="n">
        <v>1595</v>
      </c>
      <c r="U18" s="34" t="n">
        <v>57</v>
      </c>
      <c r="V18" s="34" t="n">
        <v>12</v>
      </c>
      <c r="W18" s="34" t="n">
        <v>51</v>
      </c>
      <c r="X18" s="34" t="n">
        <v>11</v>
      </c>
      <c r="Y18" s="34" t="n">
        <v>23</v>
      </c>
      <c r="Z18" s="34" t="n">
        <v>17</v>
      </c>
      <c r="AA18" s="34" t="n">
        <v>51</v>
      </c>
      <c r="AB18" s="34" t="n">
        <v>32</v>
      </c>
      <c r="AC18" s="34" t="n">
        <v>16</v>
      </c>
      <c r="AD18" s="34" t="n">
        <v>9</v>
      </c>
      <c r="AE18" s="34" t="n">
        <v>43</v>
      </c>
      <c r="AF18" s="34" t="n">
        <v>89</v>
      </c>
      <c r="AG18" s="34" t="n">
        <v>4</v>
      </c>
      <c r="AH18" s="34" t="n">
        <v>54</v>
      </c>
      <c r="AI18" s="34" t="n">
        <v>31</v>
      </c>
      <c r="AJ18" s="34" t="n">
        <v>100</v>
      </c>
      <c r="AK18" s="34" t="n">
        <v>25</v>
      </c>
      <c r="AL18" s="34" t="n">
        <v>10</v>
      </c>
      <c r="AM18" s="34" t="n">
        <v>8</v>
      </c>
      <c r="AN18" s="34" t="n">
        <v>18</v>
      </c>
      <c r="AO18" s="34" t="n">
        <v>6</v>
      </c>
      <c r="AP18" s="34" t="n">
        <v>57</v>
      </c>
      <c r="AQ18" s="34" t="n">
        <v>46</v>
      </c>
      <c r="AR18" s="34" t="n">
        <v>8</v>
      </c>
      <c r="AS18" s="34" t="n">
        <v>36</v>
      </c>
      <c r="AT18" s="34" t="n">
        <v>13</v>
      </c>
      <c r="AU18" s="34" t="n">
        <v>5</v>
      </c>
      <c r="AV18" s="34" t="n">
        <v>14</v>
      </c>
      <c r="AW18" s="34" t="n">
        <v>4</v>
      </c>
      <c r="AX18" s="34" t="n">
        <v>45</v>
      </c>
      <c r="AY18" s="34" t="n">
        <v>23</v>
      </c>
      <c r="AZ18" s="34" t="n">
        <v>21</v>
      </c>
      <c r="BA18" s="34" t="n">
        <v>64</v>
      </c>
      <c r="BB18" s="34" t="n">
        <v>49</v>
      </c>
      <c r="BC18" s="34" t="n">
        <v>53</v>
      </c>
      <c r="BD18" s="34" t="n">
        <v>77</v>
      </c>
      <c r="BE18" s="34" t="n">
        <v>65</v>
      </c>
      <c r="BF18" s="34" t="n">
        <v>63</v>
      </c>
      <c r="BG18" s="34" t="n">
        <v>78</v>
      </c>
      <c r="BH18" s="34" t="n">
        <v>115</v>
      </c>
      <c r="BI18" s="34" t="n">
        <v>125</v>
      </c>
      <c r="BJ18" s="34" t="n">
        <v>240</v>
      </c>
      <c r="BK18" s="34" t="n">
        <v>33</v>
      </c>
      <c r="BL18" s="34" t="n">
        <v>20</v>
      </c>
    </row>
    <row r="19" customFormat="false" ht="15" hidden="false" customHeight="false" outlineLevel="0" collapsed="false">
      <c r="A19" s="12" t="s">
        <v>193</v>
      </c>
      <c r="B19" s="34" t="n">
        <v>15</v>
      </c>
      <c r="C19" s="12" t="s">
        <v>211</v>
      </c>
      <c r="D19" s="12" t="s">
        <v>212</v>
      </c>
      <c r="E19" s="34" t="n">
        <v>340</v>
      </c>
      <c r="F19" s="34" t="n">
        <v>220</v>
      </c>
      <c r="G19" s="34" t="n">
        <v>120</v>
      </c>
      <c r="H19" s="34" t="n">
        <v>129</v>
      </c>
      <c r="I19" s="34" t="n">
        <v>77</v>
      </c>
      <c r="J19" s="34" t="n">
        <v>11</v>
      </c>
      <c r="K19" s="34" t="n">
        <v>66</v>
      </c>
      <c r="L19" s="34" t="n">
        <v>89</v>
      </c>
      <c r="M19" s="34" t="n">
        <v>51</v>
      </c>
      <c r="N19" s="34" t="n">
        <v>4</v>
      </c>
      <c r="O19" s="34" t="n">
        <v>108</v>
      </c>
      <c r="P19" s="34" t="n">
        <v>12</v>
      </c>
      <c r="Q19" s="34" t="n">
        <v>96</v>
      </c>
      <c r="R19" s="34" t="n">
        <v>29</v>
      </c>
      <c r="S19" s="34" t="n">
        <v>13</v>
      </c>
      <c r="T19" s="34" t="n">
        <v>1623</v>
      </c>
      <c r="U19" s="34" t="n">
        <v>61</v>
      </c>
      <c r="V19" s="34" t="n">
        <v>11</v>
      </c>
      <c r="W19" s="34" t="n">
        <v>48</v>
      </c>
      <c r="X19" s="34" t="n">
        <v>10</v>
      </c>
      <c r="Y19" s="34" t="n">
        <v>22</v>
      </c>
      <c r="Z19" s="34" t="n">
        <v>16</v>
      </c>
      <c r="AA19" s="34" t="n">
        <v>46</v>
      </c>
      <c r="AB19" s="34" t="n">
        <v>38</v>
      </c>
      <c r="AC19" s="34" t="n">
        <v>18</v>
      </c>
      <c r="AD19" s="34" t="n">
        <v>7</v>
      </c>
      <c r="AE19" s="34" t="n">
        <v>29</v>
      </c>
      <c r="AF19" s="34" t="n">
        <v>75</v>
      </c>
      <c r="AG19" s="34" t="n">
        <v>4</v>
      </c>
      <c r="AH19" s="34" t="n">
        <v>54</v>
      </c>
      <c r="AI19" s="34" t="n">
        <v>17</v>
      </c>
      <c r="AJ19" s="34" t="n">
        <v>111</v>
      </c>
      <c r="AK19" s="34" t="n">
        <v>42</v>
      </c>
      <c r="AL19" s="34" t="n">
        <v>13</v>
      </c>
      <c r="AM19" s="34" t="n">
        <v>4</v>
      </c>
      <c r="AN19" s="34" t="n">
        <v>6</v>
      </c>
      <c r="AO19" s="34" t="n">
        <v>8</v>
      </c>
      <c r="AP19" s="34" t="n">
        <v>52</v>
      </c>
      <c r="AQ19" s="34" t="n">
        <v>32</v>
      </c>
      <c r="AR19" s="34" t="n">
        <v>5</v>
      </c>
      <c r="AS19" s="34" t="n">
        <v>38</v>
      </c>
      <c r="AT19" s="34" t="n">
        <v>9</v>
      </c>
      <c r="AU19" s="34" t="n">
        <v>14</v>
      </c>
      <c r="AV19" s="34" t="n">
        <v>5</v>
      </c>
      <c r="AW19" s="34" t="n">
        <v>5</v>
      </c>
      <c r="AX19" s="34" t="n">
        <v>52</v>
      </c>
      <c r="AY19" s="34" t="n">
        <v>24</v>
      </c>
      <c r="AZ19" s="34" t="n">
        <v>58</v>
      </c>
      <c r="BA19" s="34" t="n">
        <v>65</v>
      </c>
      <c r="BB19" s="34" t="n">
        <v>54</v>
      </c>
      <c r="BC19" s="34" t="n">
        <v>60</v>
      </c>
      <c r="BD19" s="34" t="n">
        <v>72</v>
      </c>
      <c r="BE19" s="34" t="n">
        <v>56</v>
      </c>
      <c r="BF19" s="34" t="n">
        <v>50</v>
      </c>
      <c r="BG19" s="34" t="n">
        <v>43</v>
      </c>
      <c r="BH19" s="34" t="n">
        <v>133</v>
      </c>
      <c r="BI19" s="34" t="n">
        <v>87</v>
      </c>
      <c r="BJ19" s="34" t="n">
        <v>220</v>
      </c>
      <c r="BK19" s="34" t="n">
        <v>27</v>
      </c>
      <c r="BL19" s="34" t="n">
        <v>19</v>
      </c>
    </row>
    <row r="20" customFormat="false" ht="15" hidden="false" customHeight="false" outlineLevel="0" collapsed="false">
      <c r="A20" s="12" t="s">
        <v>196</v>
      </c>
      <c r="B20" s="34" t="n">
        <v>16</v>
      </c>
      <c r="C20" s="12" t="s">
        <v>211</v>
      </c>
      <c r="D20" s="12" t="s">
        <v>213</v>
      </c>
      <c r="E20" s="34" t="n">
        <v>343</v>
      </c>
      <c r="F20" s="34" t="n">
        <v>231</v>
      </c>
      <c r="G20" s="34" t="n">
        <v>112</v>
      </c>
      <c r="H20" s="34" t="n">
        <v>143</v>
      </c>
      <c r="I20" s="34" t="n">
        <v>88</v>
      </c>
      <c r="J20" s="34" t="n">
        <v>20</v>
      </c>
      <c r="K20" s="34" t="n">
        <v>68</v>
      </c>
      <c r="L20" s="34" t="n">
        <v>74</v>
      </c>
      <c r="M20" s="34" t="n">
        <v>35</v>
      </c>
      <c r="N20" s="34" t="n">
        <v>4</v>
      </c>
      <c r="O20" s="34" t="n">
        <v>121</v>
      </c>
      <c r="P20" s="34" t="n">
        <v>18</v>
      </c>
      <c r="Q20" s="34" t="n">
        <v>103</v>
      </c>
      <c r="R20" s="34" t="n">
        <v>21</v>
      </c>
      <c r="S20" s="34" t="n">
        <v>15</v>
      </c>
      <c r="T20" s="34" t="n">
        <v>1657</v>
      </c>
      <c r="U20" s="34" t="n">
        <v>47</v>
      </c>
      <c r="V20" s="34" t="n">
        <v>6</v>
      </c>
      <c r="W20" s="34" t="n">
        <v>40</v>
      </c>
      <c r="X20" s="34" t="n">
        <v>14</v>
      </c>
      <c r="Y20" s="34" t="n">
        <v>12</v>
      </c>
      <c r="Z20" s="34" t="n">
        <v>14</v>
      </c>
      <c r="AA20" s="34" t="n">
        <v>40</v>
      </c>
      <c r="AB20" s="34" t="n">
        <v>48</v>
      </c>
      <c r="AC20" s="34" t="n">
        <v>17</v>
      </c>
      <c r="AD20" s="34" t="n">
        <v>12</v>
      </c>
      <c r="AE20" s="34" t="n">
        <v>43</v>
      </c>
      <c r="AF20" s="34" t="n">
        <v>79</v>
      </c>
      <c r="AG20" s="34" t="n">
        <v>7</v>
      </c>
      <c r="AH20" s="34" t="n">
        <v>53</v>
      </c>
      <c r="AI20" s="34" t="n">
        <v>19</v>
      </c>
      <c r="AJ20" s="34" t="n">
        <v>112</v>
      </c>
      <c r="AK20" s="34" t="n">
        <v>40</v>
      </c>
      <c r="AL20" s="34" t="n">
        <v>8</v>
      </c>
      <c r="AM20" s="34" t="n">
        <v>4</v>
      </c>
      <c r="AN20" s="34" t="n">
        <v>14</v>
      </c>
      <c r="AO20" s="34" t="n">
        <v>4</v>
      </c>
      <c r="AP20" s="34" t="n">
        <v>60</v>
      </c>
      <c r="AQ20" s="34" t="n">
        <v>46</v>
      </c>
      <c r="AR20" s="34" t="n">
        <v>13</v>
      </c>
      <c r="AS20" s="34" t="n">
        <v>33</v>
      </c>
      <c r="AT20" s="34" t="n">
        <v>14</v>
      </c>
      <c r="AU20" s="34" t="n">
        <v>12</v>
      </c>
      <c r="AV20" s="34" t="n">
        <v>8</v>
      </c>
      <c r="AW20" s="34" t="n">
        <v>2</v>
      </c>
      <c r="AX20" s="34" t="n">
        <v>55</v>
      </c>
      <c r="AY20" s="34" t="n">
        <v>22</v>
      </c>
      <c r="AZ20" s="34" t="n">
        <v>54</v>
      </c>
      <c r="BA20" s="34" t="n">
        <v>68</v>
      </c>
      <c r="BB20" s="34" t="n">
        <v>45</v>
      </c>
      <c r="BC20" s="34" t="n">
        <v>64</v>
      </c>
      <c r="BD20" s="34" t="n">
        <v>75</v>
      </c>
      <c r="BE20" s="34" t="n">
        <v>63</v>
      </c>
      <c r="BF20" s="34" t="n">
        <v>67</v>
      </c>
      <c r="BG20" s="34" t="n">
        <v>92</v>
      </c>
      <c r="BH20" s="34" t="n">
        <v>147</v>
      </c>
      <c r="BI20" s="34" t="n">
        <v>85</v>
      </c>
      <c r="BJ20" s="34" t="n">
        <v>232</v>
      </c>
      <c r="BK20" s="34" t="n">
        <v>25</v>
      </c>
      <c r="BL20" s="34" t="n">
        <v>32</v>
      </c>
    </row>
    <row r="21" customFormat="false" ht="15" hidden="false" customHeight="false" outlineLevel="0" collapsed="false">
      <c r="A21" s="12" t="s">
        <v>195</v>
      </c>
      <c r="B21" s="34" t="n">
        <v>17</v>
      </c>
      <c r="C21" s="12" t="s">
        <v>211</v>
      </c>
      <c r="D21" s="12" t="s">
        <v>213</v>
      </c>
      <c r="E21" s="34" t="n">
        <v>301</v>
      </c>
      <c r="F21" s="34" t="n">
        <v>183</v>
      </c>
      <c r="G21" s="34" t="n">
        <v>118</v>
      </c>
      <c r="H21" s="34" t="n">
        <v>109</v>
      </c>
      <c r="I21" s="34" t="n">
        <v>73</v>
      </c>
      <c r="J21" s="34" t="n">
        <v>22</v>
      </c>
      <c r="K21" s="34" t="n">
        <v>51</v>
      </c>
      <c r="L21" s="34" t="n">
        <v>70</v>
      </c>
      <c r="M21" s="34" t="n">
        <v>40</v>
      </c>
      <c r="N21" s="34" t="n">
        <v>7</v>
      </c>
      <c r="O21" s="34" t="n">
        <v>80</v>
      </c>
      <c r="P21" s="34" t="n">
        <v>6</v>
      </c>
      <c r="Q21" s="34" t="n">
        <v>74</v>
      </c>
      <c r="R21" s="34" t="n">
        <v>17</v>
      </c>
      <c r="S21" s="34" t="n">
        <v>10</v>
      </c>
      <c r="T21" s="34" t="n">
        <v>1417</v>
      </c>
      <c r="U21" s="34" t="n">
        <v>82</v>
      </c>
      <c r="V21" s="34" t="n">
        <v>18</v>
      </c>
      <c r="W21" s="34" t="n">
        <v>37</v>
      </c>
      <c r="X21" s="34" t="n">
        <v>13</v>
      </c>
      <c r="Y21" s="34" t="n">
        <v>15</v>
      </c>
      <c r="Z21" s="34" t="n">
        <v>9</v>
      </c>
      <c r="AA21" s="34" t="n">
        <v>38</v>
      </c>
      <c r="AB21" s="34" t="n">
        <v>33</v>
      </c>
      <c r="AC21" s="34" t="n">
        <v>15</v>
      </c>
      <c r="AD21" s="34" t="n">
        <v>9</v>
      </c>
      <c r="AE21" s="34" t="n">
        <v>42</v>
      </c>
      <c r="AF21" s="34" t="n">
        <v>66</v>
      </c>
      <c r="AG21" s="34" t="n">
        <v>9</v>
      </c>
      <c r="AH21" s="34" t="n">
        <v>40</v>
      </c>
      <c r="AI21" s="34" t="n">
        <v>17</v>
      </c>
      <c r="AJ21" s="34" t="n">
        <v>114</v>
      </c>
      <c r="AK21" s="34" t="n">
        <v>41</v>
      </c>
      <c r="AL21" s="34" t="n">
        <v>15</v>
      </c>
      <c r="AM21" s="34" t="n">
        <v>0</v>
      </c>
      <c r="AN21" s="34" t="n">
        <v>24</v>
      </c>
      <c r="AO21" s="34" t="n">
        <v>4</v>
      </c>
      <c r="AP21" s="34" t="n">
        <v>58</v>
      </c>
      <c r="AQ21" s="34" t="n">
        <v>43</v>
      </c>
      <c r="AR21" s="34" t="n">
        <v>7</v>
      </c>
      <c r="AS21" s="34" t="n">
        <v>35</v>
      </c>
      <c r="AT21" s="34" t="n">
        <v>16</v>
      </c>
      <c r="AU21" s="34" t="n">
        <v>10</v>
      </c>
      <c r="AV21" s="34" t="n">
        <v>8</v>
      </c>
      <c r="AW21" s="34" t="n">
        <v>3</v>
      </c>
      <c r="AX21" s="34" t="n">
        <v>55</v>
      </c>
      <c r="AY21" s="34" t="n">
        <v>21</v>
      </c>
      <c r="AZ21" s="34" t="n">
        <v>47</v>
      </c>
      <c r="BA21" s="34" t="n">
        <v>63</v>
      </c>
      <c r="BB21" s="34" t="n">
        <v>45</v>
      </c>
      <c r="BC21" s="34" t="n">
        <v>57</v>
      </c>
      <c r="BD21" s="34" t="n">
        <v>71</v>
      </c>
      <c r="BE21" s="34" t="n">
        <v>62</v>
      </c>
      <c r="BF21" s="34" t="n">
        <v>48</v>
      </c>
      <c r="BG21" s="34" t="n">
        <v>89</v>
      </c>
      <c r="BH21" s="34" t="n">
        <v>105</v>
      </c>
      <c r="BI21" s="34" t="n">
        <v>84</v>
      </c>
      <c r="BJ21" s="34" t="n">
        <v>189</v>
      </c>
      <c r="BK21" s="34" t="n">
        <v>23</v>
      </c>
      <c r="BL21" s="34" t="n">
        <v>16</v>
      </c>
    </row>
    <row r="22" customFormat="false" ht="15" hidden="false" customHeight="false" outlineLevel="0" collapsed="false">
      <c r="A22" s="12" t="s">
        <v>198</v>
      </c>
      <c r="B22" s="34" t="n">
        <v>18</v>
      </c>
      <c r="C22" s="12" t="s">
        <v>211</v>
      </c>
      <c r="D22" s="12" t="s">
        <v>213</v>
      </c>
      <c r="E22" s="34" t="n">
        <v>331</v>
      </c>
      <c r="F22" s="34" t="n">
        <v>195</v>
      </c>
      <c r="G22" s="34" t="n">
        <v>136</v>
      </c>
      <c r="H22" s="34" t="n">
        <v>122</v>
      </c>
      <c r="I22" s="34" t="n">
        <v>74</v>
      </c>
      <c r="J22" s="34" t="n">
        <v>30</v>
      </c>
      <c r="K22" s="34" t="n">
        <v>44</v>
      </c>
      <c r="L22" s="34" t="n">
        <v>61</v>
      </c>
      <c r="M22" s="34" t="n">
        <v>53</v>
      </c>
      <c r="N22" s="34" t="n">
        <v>7</v>
      </c>
      <c r="O22" s="34" t="n">
        <v>71</v>
      </c>
      <c r="P22" s="34" t="n">
        <v>7</v>
      </c>
      <c r="Q22" s="34" t="n">
        <v>64</v>
      </c>
      <c r="R22" s="34" t="n">
        <v>11</v>
      </c>
      <c r="S22" s="34" t="n">
        <v>10</v>
      </c>
      <c r="T22" s="34" t="n">
        <v>1380</v>
      </c>
      <c r="U22" s="34" t="n">
        <v>42</v>
      </c>
      <c r="V22" s="34" t="n">
        <v>13</v>
      </c>
      <c r="W22" s="34" t="n">
        <v>45</v>
      </c>
      <c r="X22" s="34" t="n">
        <v>13</v>
      </c>
      <c r="Y22" s="34" t="n">
        <v>16</v>
      </c>
      <c r="Z22" s="34" t="n">
        <v>16</v>
      </c>
      <c r="AA22" s="34" t="n">
        <v>40</v>
      </c>
      <c r="AB22" s="34" t="n">
        <v>43</v>
      </c>
      <c r="AC22" s="34" t="n">
        <v>18</v>
      </c>
      <c r="AD22" s="34" t="n">
        <v>12</v>
      </c>
      <c r="AE22" s="34" t="n">
        <v>43</v>
      </c>
      <c r="AF22" s="34" t="n">
        <v>75</v>
      </c>
      <c r="AG22" s="34" t="n">
        <v>5</v>
      </c>
      <c r="AH22" s="34" t="n">
        <v>53</v>
      </c>
      <c r="AI22" s="34" t="n">
        <v>17</v>
      </c>
      <c r="AJ22" s="34" t="n">
        <v>113</v>
      </c>
      <c r="AK22" s="34" t="n">
        <v>46</v>
      </c>
      <c r="AL22" s="34" t="n">
        <v>14</v>
      </c>
      <c r="AM22" s="34" t="n">
        <v>5</v>
      </c>
      <c r="AN22" s="34" t="n">
        <v>20</v>
      </c>
      <c r="AO22" s="34" t="n">
        <v>8</v>
      </c>
      <c r="AP22" s="34" t="n">
        <v>48</v>
      </c>
      <c r="AQ22" s="34" t="n">
        <v>30</v>
      </c>
      <c r="AR22" s="34" t="n">
        <v>5</v>
      </c>
      <c r="AS22" s="34" t="n">
        <v>35</v>
      </c>
      <c r="AT22" s="34" t="n">
        <v>8</v>
      </c>
      <c r="AU22" s="34" t="n">
        <v>6</v>
      </c>
      <c r="AV22" s="34" t="n">
        <v>10</v>
      </c>
      <c r="AW22" s="34" t="n">
        <v>2</v>
      </c>
      <c r="AX22" s="34" t="n">
        <v>45</v>
      </c>
      <c r="AY22" s="34" t="n">
        <v>18</v>
      </c>
      <c r="AZ22" s="34" t="n">
        <v>33</v>
      </c>
      <c r="BA22" s="34" t="n">
        <v>68</v>
      </c>
      <c r="BB22" s="34" t="n">
        <v>58</v>
      </c>
      <c r="BC22" s="34" t="n">
        <v>55</v>
      </c>
      <c r="BD22" s="34" t="n">
        <v>86</v>
      </c>
      <c r="BE22" s="34" t="n">
        <v>73</v>
      </c>
      <c r="BF22" s="34" t="n">
        <v>65</v>
      </c>
      <c r="BG22" s="34" t="n">
        <v>67</v>
      </c>
      <c r="BH22" s="34" t="n">
        <v>108</v>
      </c>
      <c r="BI22" s="34" t="n">
        <v>118</v>
      </c>
      <c r="BJ22" s="34" t="n">
        <v>226</v>
      </c>
      <c r="BK22" s="34" t="n">
        <v>33</v>
      </c>
      <c r="BL22" s="34" t="n">
        <v>28</v>
      </c>
    </row>
    <row r="23" customFormat="false" ht="15" hidden="false" customHeight="false" outlineLevel="0" collapsed="false">
      <c r="A23" s="12" t="s">
        <v>194</v>
      </c>
      <c r="B23" s="12" t="s">
        <v>218</v>
      </c>
      <c r="C23" s="12" t="s">
        <v>219</v>
      </c>
      <c r="D23" s="12" t="s">
        <v>213</v>
      </c>
      <c r="E23" s="34" t="n">
        <v>352</v>
      </c>
      <c r="F23" s="34" t="n">
        <v>215</v>
      </c>
      <c r="G23" s="34" t="n">
        <v>137</v>
      </c>
      <c r="H23" s="34" t="n">
        <v>167</v>
      </c>
      <c r="I23" s="34" t="n">
        <v>109</v>
      </c>
      <c r="J23" s="34" t="n">
        <v>32</v>
      </c>
      <c r="K23" s="34" t="n">
        <v>77</v>
      </c>
      <c r="L23" s="34" t="n">
        <v>92</v>
      </c>
      <c r="M23" s="34" t="n">
        <v>57</v>
      </c>
      <c r="N23" s="34" t="n">
        <v>2</v>
      </c>
      <c r="O23" s="34" t="n">
        <v>72</v>
      </c>
      <c r="P23" s="34" t="n">
        <v>13</v>
      </c>
      <c r="Q23" s="34" t="n">
        <v>59</v>
      </c>
      <c r="R23" s="34" t="n">
        <v>20</v>
      </c>
      <c r="S23" s="34" t="n">
        <v>10</v>
      </c>
      <c r="T23" s="34" t="n">
        <v>1714</v>
      </c>
      <c r="U23" s="34" t="n">
        <v>79</v>
      </c>
      <c r="V23" s="34" t="n">
        <v>19</v>
      </c>
      <c r="W23" s="34" t="n">
        <v>45</v>
      </c>
      <c r="X23" s="34" t="n">
        <v>14</v>
      </c>
      <c r="Y23" s="34" t="n">
        <v>20</v>
      </c>
      <c r="Z23" s="34" t="n">
        <v>11</v>
      </c>
      <c r="AA23" s="34" t="n">
        <v>56</v>
      </c>
      <c r="AB23" s="34" t="n">
        <v>42</v>
      </c>
      <c r="AC23" s="34" t="n">
        <v>16</v>
      </c>
      <c r="AD23" s="34" t="n">
        <v>7</v>
      </c>
      <c r="AE23" s="34" t="n">
        <v>83</v>
      </c>
      <c r="AF23" s="34" t="n">
        <v>99</v>
      </c>
      <c r="AG23" s="34" t="n">
        <v>6</v>
      </c>
      <c r="AH23" s="34" t="n">
        <v>54</v>
      </c>
      <c r="AI23" s="34" t="n">
        <v>39</v>
      </c>
      <c r="AJ23" s="34" t="n">
        <v>165</v>
      </c>
      <c r="AK23" s="34" t="n">
        <v>72</v>
      </c>
      <c r="AL23" s="34" t="n">
        <v>7</v>
      </c>
      <c r="AM23" s="34" t="n">
        <v>5</v>
      </c>
      <c r="AN23" s="34" t="n">
        <v>47</v>
      </c>
      <c r="AO23" s="34" t="n">
        <v>14</v>
      </c>
      <c r="AP23" s="34" t="n">
        <v>81</v>
      </c>
      <c r="AQ23" s="34" t="n">
        <v>62</v>
      </c>
      <c r="AR23" s="34" t="n">
        <v>17</v>
      </c>
      <c r="AS23" s="34" t="n">
        <v>47</v>
      </c>
      <c r="AT23" s="34" t="n">
        <v>17</v>
      </c>
      <c r="AU23" s="34" t="n">
        <v>11</v>
      </c>
      <c r="AV23" s="34" t="n">
        <v>5</v>
      </c>
      <c r="AW23" s="34" t="n">
        <v>2</v>
      </c>
      <c r="AX23" s="34" t="n">
        <v>32</v>
      </c>
      <c r="AY23" s="34" t="n">
        <v>18</v>
      </c>
      <c r="AZ23" s="34" t="n">
        <v>61</v>
      </c>
      <c r="BA23" s="34" t="n">
        <v>59</v>
      </c>
      <c r="BB23" s="34" t="n">
        <v>38</v>
      </c>
      <c r="BC23" s="34" t="n">
        <v>49</v>
      </c>
      <c r="BD23" s="34" t="n">
        <v>74</v>
      </c>
      <c r="BE23" s="34" t="n">
        <v>62</v>
      </c>
      <c r="BF23" s="34" t="n">
        <v>48</v>
      </c>
      <c r="BG23" s="34" t="n">
        <v>86</v>
      </c>
      <c r="BH23" s="34" t="n">
        <v>105</v>
      </c>
      <c r="BI23" s="34" t="n">
        <v>102</v>
      </c>
      <c r="BJ23" s="34" t="n">
        <v>207</v>
      </c>
      <c r="BK23" s="34" t="n">
        <v>28</v>
      </c>
      <c r="BL23" s="34" t="n">
        <v>20</v>
      </c>
    </row>
    <row r="24" customFormat="false" ht="15" hidden="false" customHeight="false" outlineLevel="0" collapsed="false">
      <c r="A24" s="12" t="s">
        <v>193</v>
      </c>
      <c r="B24" s="12" t="s">
        <v>220</v>
      </c>
      <c r="C24" s="12" t="s">
        <v>219</v>
      </c>
      <c r="D24" s="12" t="s">
        <v>213</v>
      </c>
      <c r="E24" s="34" t="n">
        <v>364</v>
      </c>
      <c r="F24" s="34" t="n">
        <v>229</v>
      </c>
      <c r="G24" s="34" t="n">
        <v>135</v>
      </c>
      <c r="H24" s="34" t="n">
        <v>133</v>
      </c>
      <c r="I24" s="34" t="n">
        <v>89</v>
      </c>
      <c r="J24" s="34" t="n">
        <v>26</v>
      </c>
      <c r="K24" s="34" t="n">
        <v>63</v>
      </c>
      <c r="L24" s="34" t="n">
        <v>59</v>
      </c>
      <c r="M24" s="34" t="n">
        <v>46</v>
      </c>
      <c r="N24" s="34" t="n">
        <v>14</v>
      </c>
      <c r="O24" s="34" t="n">
        <v>103</v>
      </c>
      <c r="P24" s="34" t="n">
        <v>10</v>
      </c>
      <c r="Q24" s="34" t="n">
        <v>93</v>
      </c>
      <c r="R24" s="34" t="n">
        <v>14</v>
      </c>
      <c r="S24" s="34" t="n">
        <v>11</v>
      </c>
      <c r="T24" s="34" t="n">
        <v>1586</v>
      </c>
      <c r="U24" s="34" t="n">
        <v>39</v>
      </c>
      <c r="V24" s="34" t="n">
        <v>12</v>
      </c>
      <c r="W24" s="34" t="n">
        <v>43</v>
      </c>
      <c r="X24" s="34" t="n">
        <v>13</v>
      </c>
      <c r="Y24" s="34" t="n">
        <v>18</v>
      </c>
      <c r="Z24" s="34" t="n">
        <v>12</v>
      </c>
      <c r="AA24" s="34" t="n">
        <v>52</v>
      </c>
      <c r="AB24" s="34" t="n">
        <v>38</v>
      </c>
      <c r="AC24" s="34" t="n">
        <v>15</v>
      </c>
      <c r="AD24" s="34" t="n">
        <v>13</v>
      </c>
      <c r="AE24" s="34" t="n">
        <v>38</v>
      </c>
      <c r="AF24" s="34" t="n">
        <v>75</v>
      </c>
      <c r="AG24" s="34" t="n">
        <v>0</v>
      </c>
      <c r="AH24" s="34" t="n">
        <v>40</v>
      </c>
      <c r="AI24" s="34" t="n">
        <v>35</v>
      </c>
      <c r="AJ24" s="34" t="n">
        <v>100</v>
      </c>
      <c r="AK24" s="34" t="n">
        <v>39</v>
      </c>
      <c r="AL24" s="34" t="n">
        <v>6</v>
      </c>
      <c r="AM24" s="34" t="n">
        <v>4</v>
      </c>
      <c r="AN24" s="34" t="n">
        <v>19</v>
      </c>
      <c r="AO24" s="34" t="n">
        <v>5</v>
      </c>
      <c r="AP24" s="34" t="n">
        <v>51</v>
      </c>
      <c r="AQ24" s="34" t="n">
        <v>37</v>
      </c>
      <c r="AR24" s="34" t="n">
        <v>6</v>
      </c>
      <c r="AS24" s="34" t="n">
        <v>37</v>
      </c>
      <c r="AT24" s="34" t="n">
        <v>8</v>
      </c>
      <c r="AU24" s="34" t="n">
        <v>8</v>
      </c>
      <c r="AV24" s="34" t="n">
        <v>11</v>
      </c>
      <c r="AW24" s="34" t="n">
        <v>0</v>
      </c>
      <c r="AX24" s="34" t="n">
        <v>36</v>
      </c>
      <c r="AY24" s="34" t="n">
        <v>19</v>
      </c>
      <c r="AZ24" s="34" t="n">
        <v>42</v>
      </c>
      <c r="BA24" s="34" t="n">
        <v>70</v>
      </c>
      <c r="BB24" s="34" t="n">
        <v>40</v>
      </c>
      <c r="BC24" s="34" t="n">
        <v>61</v>
      </c>
      <c r="BD24" s="34" t="n">
        <v>83</v>
      </c>
      <c r="BE24" s="34" t="n">
        <v>58</v>
      </c>
      <c r="BF24" s="34" t="n">
        <v>61</v>
      </c>
      <c r="BG24" s="34" t="n">
        <v>69</v>
      </c>
      <c r="BH24" s="34" t="n">
        <v>140</v>
      </c>
      <c r="BI24" s="34" t="n">
        <v>113</v>
      </c>
      <c r="BJ24" s="34" t="n">
        <v>253</v>
      </c>
      <c r="BK24" s="34" t="n">
        <v>25</v>
      </c>
      <c r="BL24" s="34" t="n">
        <v>23</v>
      </c>
    </row>
    <row r="25" customFormat="false" ht="15" hidden="false" customHeight="false" outlineLevel="0" collapsed="false">
      <c r="A25" s="12" t="s">
        <v>194</v>
      </c>
      <c r="B25" s="12" t="s">
        <v>221</v>
      </c>
      <c r="C25" s="12" t="s">
        <v>219</v>
      </c>
      <c r="D25" s="12" t="s">
        <v>213</v>
      </c>
      <c r="E25" s="34" t="n">
        <v>288</v>
      </c>
      <c r="F25" s="34" t="n">
        <v>193</v>
      </c>
      <c r="G25" s="34" t="n">
        <v>95</v>
      </c>
      <c r="H25" s="34" t="n">
        <v>135</v>
      </c>
      <c r="I25" s="34" t="n">
        <v>78</v>
      </c>
      <c r="J25" s="34" t="n">
        <v>27</v>
      </c>
      <c r="K25" s="34" t="n">
        <v>51</v>
      </c>
      <c r="L25" s="34" t="n">
        <v>71</v>
      </c>
      <c r="M25" s="34" t="n">
        <v>42</v>
      </c>
      <c r="N25" s="34" t="n">
        <v>9</v>
      </c>
      <c r="O25" s="34" t="n">
        <v>71</v>
      </c>
      <c r="P25" s="34" t="n">
        <v>18</v>
      </c>
      <c r="Q25" s="34" t="n">
        <v>53</v>
      </c>
      <c r="R25" s="34" t="n">
        <v>16</v>
      </c>
      <c r="S25" s="34" t="n">
        <v>10</v>
      </c>
      <c r="T25" s="34" t="n">
        <v>1345</v>
      </c>
      <c r="U25" s="34" t="n">
        <v>68</v>
      </c>
      <c r="V25" s="34" t="n">
        <v>19</v>
      </c>
      <c r="W25" s="34" t="n">
        <v>36</v>
      </c>
      <c r="X25" s="34" t="n">
        <v>13</v>
      </c>
      <c r="Y25" s="34" t="n">
        <v>11</v>
      </c>
      <c r="Z25" s="34" t="n">
        <v>12</v>
      </c>
      <c r="AA25" s="34" t="n">
        <v>51</v>
      </c>
      <c r="AB25" s="34" t="n">
        <v>32</v>
      </c>
      <c r="AC25" s="34" t="n">
        <v>20</v>
      </c>
      <c r="AD25" s="34" t="n">
        <v>15</v>
      </c>
      <c r="AE25" s="34" t="n">
        <v>33</v>
      </c>
      <c r="AF25" s="34" t="n">
        <v>86</v>
      </c>
      <c r="AG25" s="34" t="n">
        <v>6</v>
      </c>
      <c r="AH25" s="34" t="n">
        <v>49</v>
      </c>
      <c r="AI25" s="34" t="n">
        <v>31</v>
      </c>
      <c r="AJ25" s="34" t="n">
        <v>115</v>
      </c>
      <c r="AK25" s="34" t="n">
        <v>53</v>
      </c>
      <c r="AL25" s="34" t="n">
        <v>5</v>
      </c>
      <c r="AM25" s="34" t="n">
        <v>4</v>
      </c>
      <c r="AN25" s="34" t="n">
        <v>19</v>
      </c>
      <c r="AO25" s="34" t="n">
        <v>10</v>
      </c>
      <c r="AP25" s="34" t="n">
        <v>53</v>
      </c>
      <c r="AQ25" s="34" t="n">
        <v>45</v>
      </c>
      <c r="AR25" s="34" t="n">
        <v>12</v>
      </c>
      <c r="AS25" s="34" t="n">
        <v>33</v>
      </c>
      <c r="AT25" s="34" t="n">
        <v>8</v>
      </c>
      <c r="AU25" s="34" t="n">
        <v>8</v>
      </c>
      <c r="AV25" s="34" t="n">
        <v>6</v>
      </c>
      <c r="AW25" s="34" t="n">
        <v>6</v>
      </c>
      <c r="AX25" s="34" t="n">
        <v>39</v>
      </c>
      <c r="AY25" s="34" t="n">
        <v>20</v>
      </c>
      <c r="AZ25" s="34" t="n">
        <v>40</v>
      </c>
      <c r="BA25" s="34" t="n">
        <v>60</v>
      </c>
      <c r="BB25" s="34" t="n">
        <v>43</v>
      </c>
      <c r="BC25" s="34" t="n">
        <v>51</v>
      </c>
      <c r="BD25" s="34" t="n">
        <v>77</v>
      </c>
      <c r="BE25" s="34" t="n">
        <v>42</v>
      </c>
      <c r="BF25" s="34" t="n">
        <v>59</v>
      </c>
      <c r="BG25" s="34" t="n">
        <v>80</v>
      </c>
      <c r="BH25" s="34" t="n">
        <v>99</v>
      </c>
      <c r="BI25" s="34" t="n">
        <v>74</v>
      </c>
      <c r="BJ25" s="34" t="n">
        <v>173</v>
      </c>
      <c r="BK25" s="34" t="n">
        <v>15</v>
      </c>
      <c r="BL25" s="34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8F3A"/>
    <pageSetUpPr fitToPage="false"/>
  </sheetPr>
  <dimension ref="A1:B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1"/>
    <col collapsed="false" customWidth="true" hidden="false" outlineLevel="0" max="64" min="5" style="0" width="7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8" t="s">
        <v>216</v>
      </c>
    </row>
    <row r="4" customFormat="false" ht="30" hidden="false" customHeight="true" outlineLevel="0" collapsed="false">
      <c r="A4" s="2" t="s">
        <v>208</v>
      </c>
      <c r="B4" s="2" t="s">
        <v>183</v>
      </c>
      <c r="C4" s="2" t="s">
        <v>209</v>
      </c>
      <c r="D4" s="2" t="s">
        <v>210</v>
      </c>
      <c r="E4" s="2" t="s">
        <v>55</v>
      </c>
      <c r="F4" s="2" t="s">
        <v>105</v>
      </c>
      <c r="G4" s="2" t="s">
        <v>85</v>
      </c>
      <c r="H4" s="2" t="s">
        <v>49</v>
      </c>
      <c r="I4" s="2" t="s">
        <v>155</v>
      </c>
      <c r="J4" s="2" t="s">
        <v>87</v>
      </c>
      <c r="K4" s="2" t="s">
        <v>117</v>
      </c>
      <c r="L4" s="2" t="s">
        <v>103</v>
      </c>
      <c r="M4" s="2" t="s">
        <v>81</v>
      </c>
      <c r="N4" s="2" t="s">
        <v>95</v>
      </c>
      <c r="O4" s="2" t="s">
        <v>119</v>
      </c>
      <c r="P4" s="2" t="s">
        <v>47</v>
      </c>
      <c r="Q4" s="2" t="s">
        <v>161</v>
      </c>
      <c r="R4" s="2" t="s">
        <v>101</v>
      </c>
      <c r="S4" s="2" t="s">
        <v>121</v>
      </c>
      <c r="T4" s="2" t="s">
        <v>139</v>
      </c>
      <c r="U4" s="2" t="s">
        <v>91</v>
      </c>
      <c r="V4" s="2" t="s">
        <v>93</v>
      </c>
      <c r="W4" s="2" t="s">
        <v>53</v>
      </c>
      <c r="X4" s="2" t="s">
        <v>45</v>
      </c>
      <c r="Y4" s="2" t="s">
        <v>41</v>
      </c>
      <c r="Z4" s="2" t="s">
        <v>157</v>
      </c>
      <c r="AA4" s="2" t="s">
        <v>97</v>
      </c>
      <c r="AB4" s="2" t="s">
        <v>133</v>
      </c>
      <c r="AC4" s="2" t="s">
        <v>67</v>
      </c>
      <c r="AD4" s="2" t="s">
        <v>111</v>
      </c>
      <c r="AE4" s="2" t="s">
        <v>31</v>
      </c>
      <c r="AF4" s="2" t="s">
        <v>159</v>
      </c>
      <c r="AG4" s="2" t="s">
        <v>39</v>
      </c>
      <c r="AH4" s="2" t="s">
        <v>125</v>
      </c>
      <c r="AI4" s="2" t="s">
        <v>71</v>
      </c>
      <c r="AJ4" s="2" t="s">
        <v>127</v>
      </c>
      <c r="AK4" s="2" t="s">
        <v>129</v>
      </c>
      <c r="AL4" s="2" t="s">
        <v>51</v>
      </c>
      <c r="AM4" s="2" t="s">
        <v>147</v>
      </c>
      <c r="AN4" s="2" t="s">
        <v>149</v>
      </c>
      <c r="AO4" s="2" t="s">
        <v>131</v>
      </c>
      <c r="AP4" s="2" t="s">
        <v>151</v>
      </c>
      <c r="AQ4" s="2" t="s">
        <v>153</v>
      </c>
      <c r="AR4" s="2" t="s">
        <v>69</v>
      </c>
      <c r="AS4" s="2" t="s">
        <v>123</v>
      </c>
      <c r="AT4" s="2" t="s">
        <v>37</v>
      </c>
      <c r="AU4" s="2" t="s">
        <v>73</v>
      </c>
      <c r="AV4" s="2" t="s">
        <v>33</v>
      </c>
      <c r="AW4" s="2" t="s">
        <v>137</v>
      </c>
      <c r="AX4" s="2" t="s">
        <v>141</v>
      </c>
      <c r="AY4" s="2" t="s">
        <v>145</v>
      </c>
      <c r="AZ4" s="2" t="s">
        <v>77</v>
      </c>
      <c r="BA4" s="2" t="s">
        <v>57</v>
      </c>
      <c r="BB4" s="2" t="s">
        <v>99</v>
      </c>
      <c r="BC4" s="2" t="s">
        <v>107</v>
      </c>
      <c r="BD4" s="2" t="s">
        <v>83</v>
      </c>
      <c r="BE4" s="2" t="s">
        <v>43</v>
      </c>
      <c r="BF4" s="2" t="s">
        <v>135</v>
      </c>
      <c r="BG4" s="2" t="s">
        <v>113</v>
      </c>
      <c r="BH4" s="2" t="s">
        <v>109</v>
      </c>
      <c r="BI4" s="2" t="s">
        <v>89</v>
      </c>
      <c r="BJ4" s="2" t="s">
        <v>59</v>
      </c>
      <c r="BK4" s="2" t="s">
        <v>61</v>
      </c>
      <c r="BL4" s="2" t="s">
        <v>63</v>
      </c>
    </row>
    <row r="5" customFormat="false" ht="15" hidden="false" customHeight="false" outlineLevel="0" collapsed="false">
      <c r="A5" s="12" t="str">
        <f aca="false">'Echuca Games For'!A5</f>
        <v>Tatura</v>
      </c>
      <c r="B5" s="34" t="n">
        <f aca="false">'Echuca Games For'!B5</f>
        <v>1</v>
      </c>
      <c r="C5" s="12" t="str">
        <f aca="false">'Echuca Games For'!C5</f>
        <v>Home &amp; away</v>
      </c>
      <c r="D5" s="12" t="str">
        <f aca="false">'Echuca Games For'!D5</f>
        <v>W</v>
      </c>
      <c r="E5" s="35" t="n">
        <f aca="false">'Echuca Games For'!E5-'Echuca Games Against'!E5</f>
        <v>73</v>
      </c>
      <c r="F5" s="35" t="n">
        <f aca="false">'Echuca Games For'!F5-'Echuca Games Against'!F5</f>
        <v>18</v>
      </c>
      <c r="G5" s="35" t="n">
        <f aca="false">'Echuca Games For'!G5-'Echuca Games Against'!G5</f>
        <v>55</v>
      </c>
      <c r="H5" s="35" t="n">
        <f aca="false">'Echuca Games For'!H5-'Echuca Games Against'!H5</f>
        <v>54</v>
      </c>
      <c r="I5" s="35" t="n">
        <f aca="false">'Echuca Games For'!I5-'Echuca Games Against'!I5</f>
        <v>38</v>
      </c>
      <c r="J5" s="35" t="n">
        <f aca="false">'Echuca Games For'!J5-'Echuca Games Against'!J5</f>
        <v>5</v>
      </c>
      <c r="K5" s="35" t="n">
        <f aca="false">'Echuca Games For'!K5-'Echuca Games Against'!K5</f>
        <v>33</v>
      </c>
      <c r="L5" s="35" t="n">
        <f aca="false">'Echuca Games For'!L5-'Echuca Games Against'!L5</f>
        <v>9</v>
      </c>
      <c r="M5" s="35" t="n">
        <f aca="false">'Echuca Games For'!M5-'Echuca Games Against'!M5</f>
        <v>12</v>
      </c>
      <c r="N5" s="35" t="n">
        <f aca="false">'Echuca Games For'!N5-'Echuca Games Against'!N5</f>
        <v>2</v>
      </c>
      <c r="O5" s="35" t="n">
        <f aca="false">'Echuca Games For'!O5-'Echuca Games Against'!O5</f>
        <v>-36</v>
      </c>
      <c r="P5" s="35" t="n">
        <f aca="false">'Echuca Games For'!P5-'Echuca Games Against'!P5</f>
        <v>1</v>
      </c>
      <c r="Q5" s="35" t="n">
        <f aca="false">'Echuca Games For'!Q5-'Echuca Games Against'!Q5</f>
        <v>-37</v>
      </c>
      <c r="R5" s="35" t="n">
        <f aca="false">'Echuca Games For'!R5-'Echuca Games Against'!R5</f>
        <v>-10</v>
      </c>
      <c r="S5" s="35" t="n">
        <f aca="false">'Echuca Games For'!S5-'Echuca Games Against'!S5</f>
        <v>14</v>
      </c>
      <c r="T5" s="35" t="n">
        <f aca="false">'Echuca Games For'!T5-'Echuca Games Against'!T5</f>
        <v>384</v>
      </c>
      <c r="U5" s="35" t="n">
        <f aca="false">'Echuca Games For'!U5-'Echuca Games Against'!U5</f>
        <v>-13</v>
      </c>
      <c r="V5" s="35" t="n">
        <f aca="false">'Echuca Games For'!V5-'Echuca Games Against'!V5</f>
        <v>8</v>
      </c>
      <c r="W5" s="35" t="n">
        <f aca="false">'Echuca Games For'!W5-'Echuca Games Against'!W5</f>
        <v>19</v>
      </c>
      <c r="X5" s="35" t="n">
        <f aca="false">'Echuca Games For'!X5-'Echuca Games Against'!X5</f>
        <v>10</v>
      </c>
      <c r="Y5" s="35" t="n">
        <f aca="false">'Echuca Games For'!Y5-'Echuca Games Against'!Y5</f>
        <v>10</v>
      </c>
      <c r="Z5" s="35" t="n">
        <f aca="false">'Echuca Games For'!Z5-'Echuca Games Against'!Z5</f>
        <v>-1</v>
      </c>
      <c r="AA5" s="35" t="n">
        <f aca="false">'Echuca Games For'!AA5-'Echuca Games Against'!AA5</f>
        <v>52</v>
      </c>
      <c r="AB5" s="35" t="n">
        <f aca="false">'Echuca Games For'!AB5-'Echuca Games Against'!AB5</f>
        <v>-37</v>
      </c>
      <c r="AC5" s="35" t="n">
        <f aca="false">'Echuca Games For'!AC5-'Echuca Games Against'!AC5</f>
        <v>5</v>
      </c>
      <c r="AD5" s="35" t="n">
        <f aca="false">'Echuca Games For'!AD5-'Echuca Games Against'!AD5</f>
        <v>-19</v>
      </c>
      <c r="AE5" s="35" t="n">
        <f aca="false">'Echuca Games For'!AE5-'Echuca Games Against'!AE5</f>
        <v>-2</v>
      </c>
      <c r="AF5" s="35" t="n">
        <f aca="false">'Echuca Games For'!AF5-'Echuca Games Against'!AF5</f>
        <v>-10</v>
      </c>
      <c r="AG5" s="35" t="n">
        <f aca="false">'Echuca Games For'!AG5-'Echuca Games Against'!AG5</f>
        <v>-6</v>
      </c>
      <c r="AH5" s="35" t="n">
        <f aca="false">'Echuca Games For'!AH5-'Echuca Games Against'!AH5</f>
        <v>-28</v>
      </c>
      <c r="AI5" s="35" t="n">
        <f aca="false">'Echuca Games For'!AI5-'Echuca Games Against'!AI5</f>
        <v>24</v>
      </c>
      <c r="AJ5" s="35" t="n">
        <f aca="false">'Echuca Games For'!AJ5-'Echuca Games Against'!AJ5</f>
        <v>18</v>
      </c>
      <c r="AK5" s="35" t="n">
        <f aca="false">'Echuca Games For'!AK5-'Echuca Games Against'!AK5</f>
        <v>9</v>
      </c>
      <c r="AL5" s="35" t="n">
        <f aca="false">'Echuca Games For'!AL5-'Echuca Games Against'!AL5</f>
        <v>5</v>
      </c>
      <c r="AM5" s="35" t="n">
        <f aca="false">'Echuca Games For'!AM5-'Echuca Games Against'!AM5</f>
        <v>1</v>
      </c>
      <c r="AN5" s="35" t="n">
        <f aca="false">'Echuca Games For'!AN5-'Echuca Games Against'!AN5</f>
        <v>-9</v>
      </c>
      <c r="AO5" s="35" t="n">
        <f aca="false">'Echuca Games For'!AO5-'Echuca Games Against'!AO5</f>
        <v>14</v>
      </c>
      <c r="AP5" s="35" t="n">
        <f aca="false">'Echuca Games For'!AP5-'Echuca Games Against'!AP5</f>
        <v>3</v>
      </c>
      <c r="AQ5" s="35" t="n">
        <f aca="false">'Echuca Games For'!AQ5-'Echuca Games Against'!AQ5</f>
        <v>11</v>
      </c>
      <c r="AR5" s="35" t="n">
        <f aca="false">'Echuca Games For'!AR5-'Echuca Games Against'!AR5</f>
        <v>9</v>
      </c>
      <c r="AS5" s="35" t="n">
        <f aca="false">'Echuca Games For'!AS5-'Echuca Games Against'!AS5</f>
        <v>9</v>
      </c>
      <c r="AT5" s="35" t="n">
        <f aca="false">'Echuca Games For'!AT5-'Echuca Games Against'!AT5</f>
        <v>-15</v>
      </c>
      <c r="AU5" s="35" t="n">
        <f aca="false">'Echuca Games For'!AU5-'Echuca Games Against'!AU5</f>
        <v>16</v>
      </c>
      <c r="AV5" s="35" t="n">
        <f aca="false">'Echuca Games For'!AV5-'Echuca Games Against'!AV5</f>
        <v>17</v>
      </c>
      <c r="AW5" s="35" t="n">
        <f aca="false">'Echuca Games For'!AW5-'Echuca Games Against'!AW5</f>
        <v>2</v>
      </c>
      <c r="AX5" s="35" t="n">
        <f aca="false">'Echuca Games For'!AX5-'Echuca Games Against'!AX5</f>
        <v>23</v>
      </c>
      <c r="AY5" s="35" t="n">
        <f aca="false">'Echuca Games For'!AY5-'Echuca Games Against'!AY5</f>
        <v>35</v>
      </c>
      <c r="AZ5" s="35" t="n">
        <f aca="false">'Echuca Games For'!AZ5-'Echuca Games Against'!AZ5</f>
        <v>-46</v>
      </c>
      <c r="BA5" s="35" t="n">
        <f aca="false">'Echuca Games For'!BA5-'Echuca Games Against'!BA5</f>
        <v>2</v>
      </c>
      <c r="BB5" s="35" t="n">
        <f aca="false">'Echuca Games For'!BB5-'Echuca Games Against'!BB5</f>
        <v>5</v>
      </c>
      <c r="BC5" s="35" t="n">
        <f aca="false">'Echuca Games For'!BC5-'Echuca Games Against'!BC5</f>
        <v>-4</v>
      </c>
      <c r="BD5" s="35" t="n">
        <f aca="false">'Echuca Games For'!BD5-'Echuca Games Against'!BD5</f>
        <v>7</v>
      </c>
      <c r="BE5" s="35" t="n">
        <f aca="false">'Echuca Games For'!BE5-'Echuca Games Against'!BE5</f>
        <v>16</v>
      </c>
      <c r="BF5" s="35" t="n">
        <f aca="false">'Echuca Games For'!BF5-'Echuca Games Against'!BF5</f>
        <v>18</v>
      </c>
      <c r="BG5" s="35" t="n">
        <f aca="false">'Echuca Games For'!BG5-'Echuca Games Against'!BG5</f>
        <v>-63</v>
      </c>
      <c r="BH5" s="35" t="n">
        <f aca="false">'Echuca Games For'!BH5-'Echuca Games Against'!BH5</f>
        <v>6</v>
      </c>
      <c r="BI5" s="35" t="n">
        <f aca="false">'Echuca Games For'!BI5-'Echuca Games Against'!BI5</f>
        <v>56</v>
      </c>
      <c r="BJ5" s="35" t="n">
        <f aca="false">'Echuca Games For'!BJ5-'Echuca Games Against'!BJ5</f>
        <v>62</v>
      </c>
      <c r="BK5" s="35" t="n">
        <f aca="false">'Echuca Games For'!BK5-'Echuca Games Against'!BK5</f>
        <v>19</v>
      </c>
      <c r="BL5" s="35" t="n">
        <f aca="false">'Echuca Games For'!BL5-'Echuca Games Against'!BL5</f>
        <v>-15</v>
      </c>
    </row>
    <row r="6" customFormat="false" ht="15" hidden="false" customHeight="false" outlineLevel="0" collapsed="false">
      <c r="A6" s="12" t="str">
        <f aca="false">'Echuca Games For'!A6</f>
        <v>Benalla</v>
      </c>
      <c r="B6" s="34" t="n">
        <f aca="false">'Echuca Games For'!B6</f>
        <v>2</v>
      </c>
      <c r="C6" s="12" t="str">
        <f aca="false">'Echuca Games For'!C6</f>
        <v>Home &amp; away</v>
      </c>
      <c r="D6" s="12" t="str">
        <f aca="false">'Echuca Games For'!D6</f>
        <v>W</v>
      </c>
      <c r="E6" s="35" t="n">
        <f aca="false">'Echuca Games For'!E6-'Echuca Games Against'!E6</f>
        <v>112</v>
      </c>
      <c r="F6" s="35" t="n">
        <f aca="false">'Echuca Games For'!F6-'Echuca Games Against'!F6</f>
        <v>86</v>
      </c>
      <c r="G6" s="35" t="n">
        <f aca="false">'Echuca Games For'!G6-'Echuca Games Against'!G6</f>
        <v>26</v>
      </c>
      <c r="H6" s="35" t="n">
        <f aca="false">'Echuca Games For'!H6-'Echuca Games Against'!H6</f>
        <v>6</v>
      </c>
      <c r="I6" s="35" t="n">
        <f aca="false">'Echuca Games For'!I6-'Echuca Games Against'!I6</f>
        <v>7</v>
      </c>
      <c r="J6" s="35" t="n">
        <f aca="false">'Echuca Games For'!J6-'Echuca Games Against'!J6</f>
        <v>-1</v>
      </c>
      <c r="K6" s="35" t="n">
        <f aca="false">'Echuca Games For'!K6-'Echuca Games Against'!K6</f>
        <v>8</v>
      </c>
      <c r="L6" s="35" t="n">
        <f aca="false">'Echuca Games For'!L6-'Echuca Games Against'!L6</f>
        <v>10</v>
      </c>
      <c r="M6" s="35" t="n">
        <f aca="false">'Echuca Games For'!M6-'Echuca Games Against'!M6</f>
        <v>14</v>
      </c>
      <c r="N6" s="35" t="n">
        <f aca="false">'Echuca Games For'!N6-'Echuca Games Against'!N6</f>
        <v>1</v>
      </c>
      <c r="O6" s="35" t="n">
        <f aca="false">'Echuca Games For'!O6-'Echuca Games Against'!O6</f>
        <v>62</v>
      </c>
      <c r="P6" s="35" t="n">
        <f aca="false">'Echuca Games For'!P6-'Echuca Games Against'!P6</f>
        <v>-6</v>
      </c>
      <c r="Q6" s="35" t="n">
        <f aca="false">'Echuca Games For'!Q6-'Echuca Games Against'!Q6</f>
        <v>68</v>
      </c>
      <c r="R6" s="35" t="n">
        <f aca="false">'Echuca Games For'!R6-'Echuca Games Against'!R6</f>
        <v>3</v>
      </c>
      <c r="S6" s="35" t="n">
        <f aca="false">'Echuca Games For'!S6-'Echuca Games Against'!S6</f>
        <v>15</v>
      </c>
      <c r="T6" s="35" t="n">
        <f aca="false">'Echuca Games For'!T6-'Echuca Games Against'!T6</f>
        <v>544</v>
      </c>
      <c r="U6" s="35" t="n">
        <f aca="false">'Echuca Games For'!U6-'Echuca Games Against'!U6</f>
        <v>-38</v>
      </c>
      <c r="V6" s="35" t="n">
        <f aca="false">'Echuca Games For'!V6-'Echuca Games Against'!V6</f>
        <v>-7</v>
      </c>
      <c r="W6" s="35" t="n">
        <f aca="false">'Echuca Games For'!W6-'Echuca Games Against'!W6</f>
        <v>1</v>
      </c>
      <c r="X6" s="35" t="n">
        <f aca="false">'Echuca Games For'!X6-'Echuca Games Against'!X6</f>
        <v>-1</v>
      </c>
      <c r="Y6" s="35" t="n">
        <f aca="false">'Echuca Games For'!Y6-'Echuca Games Against'!Y6</f>
        <v>7</v>
      </c>
      <c r="Z6" s="35" t="n">
        <f aca="false">'Echuca Games For'!Z6-'Echuca Games Against'!Z6</f>
        <v>-5</v>
      </c>
      <c r="AA6" s="35" t="n">
        <f aca="false">'Echuca Games For'!AA6-'Echuca Games Against'!AA6</f>
        <v>28</v>
      </c>
      <c r="AB6" s="35" t="n">
        <f aca="false">'Echuca Games For'!AB6-'Echuca Games Against'!AB6</f>
        <v>-20</v>
      </c>
      <c r="AC6" s="35" t="n">
        <f aca="false">'Echuca Games For'!AC6-'Echuca Games Against'!AC6</f>
        <v>-4</v>
      </c>
      <c r="AD6" s="35" t="n">
        <f aca="false">'Echuca Games For'!AD6-'Echuca Games Against'!AD6</f>
        <v>-13</v>
      </c>
      <c r="AE6" s="35" t="n">
        <f aca="false">'Echuca Games For'!AE6-'Echuca Games Against'!AE6</f>
        <v>-4</v>
      </c>
      <c r="AF6" s="35" t="n">
        <f aca="false">'Echuca Games For'!AF6-'Echuca Games Against'!AF6</f>
        <v>-14</v>
      </c>
      <c r="AG6" s="35" t="n">
        <f aca="false">'Echuca Games For'!AG6-'Echuca Games Against'!AG6</f>
        <v>-6</v>
      </c>
      <c r="AH6" s="35" t="n">
        <f aca="false">'Echuca Games For'!AH6-'Echuca Games Against'!AH6</f>
        <v>-20</v>
      </c>
      <c r="AI6" s="35" t="n">
        <f aca="false">'Echuca Games For'!AI6-'Echuca Games Against'!AI6</f>
        <v>12</v>
      </c>
      <c r="AJ6" s="35" t="n">
        <f aca="false">'Echuca Games For'!AJ6-'Echuca Games Against'!AJ6</f>
        <v>7</v>
      </c>
      <c r="AK6" s="35" t="n">
        <f aca="false">'Echuca Games For'!AK6-'Echuca Games Against'!AK6</f>
        <v>-19</v>
      </c>
      <c r="AL6" s="35" t="n">
        <f aca="false">'Echuca Games For'!AL6-'Echuca Games Against'!AL6</f>
        <v>3</v>
      </c>
      <c r="AM6" s="35" t="n">
        <f aca="false">'Echuca Games For'!AM6-'Echuca Games Against'!AM6</f>
        <v>7</v>
      </c>
      <c r="AN6" s="35" t="n">
        <f aca="false">'Echuca Games For'!AN6-'Echuca Games Against'!AN6</f>
        <v>-14</v>
      </c>
      <c r="AO6" s="35" t="n">
        <f aca="false">'Echuca Games For'!AO6-'Echuca Games Against'!AO6</f>
        <v>14</v>
      </c>
      <c r="AP6" s="35" t="n">
        <f aca="false">'Echuca Games For'!AP6-'Echuca Games Against'!AP6</f>
        <v>16</v>
      </c>
      <c r="AQ6" s="35" t="n">
        <f aca="false">'Echuca Games For'!AQ6-'Echuca Games Against'!AQ6</f>
        <v>13</v>
      </c>
      <c r="AR6" s="35" t="n">
        <f aca="false">'Echuca Games For'!AR6-'Echuca Games Against'!AR6</f>
        <v>8</v>
      </c>
      <c r="AS6" s="35" t="n">
        <f aca="false">'Echuca Games For'!AS6-'Echuca Games Against'!AS6</f>
        <v>19</v>
      </c>
      <c r="AT6" s="35" t="n">
        <f aca="false">'Echuca Games For'!AT6-'Echuca Games Against'!AT6</f>
        <v>-11</v>
      </c>
      <c r="AU6" s="35" t="n">
        <f aca="false">'Echuca Games For'!AU6-'Echuca Games Against'!AU6</f>
        <v>4</v>
      </c>
      <c r="AV6" s="35" t="n">
        <f aca="false">'Echuca Games For'!AV6-'Echuca Games Against'!AV6</f>
        <v>11</v>
      </c>
      <c r="AW6" s="35" t="n">
        <f aca="false">'Echuca Games For'!AW6-'Echuca Games Against'!AW6</f>
        <v>2</v>
      </c>
      <c r="AX6" s="35" t="n">
        <f aca="false">'Echuca Games For'!AX6-'Echuca Games Against'!AX6</f>
        <v>13</v>
      </c>
      <c r="AY6" s="35" t="n">
        <f aca="false">'Echuca Games For'!AY6-'Echuca Games Against'!AY6</f>
        <v>17</v>
      </c>
      <c r="AZ6" s="35" t="n">
        <f aca="false">'Echuca Games For'!AZ6-'Echuca Games Against'!AZ6</f>
        <v>-23</v>
      </c>
      <c r="BA6" s="35" t="n">
        <f aca="false">'Echuca Games For'!BA6-'Echuca Games Against'!BA6</f>
        <v>18</v>
      </c>
      <c r="BB6" s="35" t="n">
        <f aca="false">'Echuca Games For'!BB6-'Echuca Games Against'!BB6</f>
        <v>11</v>
      </c>
      <c r="BC6" s="35" t="n">
        <f aca="false">'Echuca Games For'!BC6-'Echuca Games Against'!BC6</f>
        <v>19</v>
      </c>
      <c r="BD6" s="35" t="n">
        <f aca="false">'Echuca Games For'!BD6-'Echuca Games Against'!BD6</f>
        <v>15</v>
      </c>
      <c r="BE6" s="35" t="n">
        <f aca="false">'Echuca Games For'!BE6-'Echuca Games Against'!BE6</f>
        <v>19</v>
      </c>
      <c r="BF6" s="35" t="n">
        <f aca="false">'Echuca Games For'!BF6-'Echuca Games Against'!BF6</f>
        <v>27</v>
      </c>
      <c r="BG6" s="35" t="n">
        <f aca="false">'Echuca Games For'!BG6-'Echuca Games Against'!BG6</f>
        <v>29</v>
      </c>
      <c r="BH6" s="35" t="n">
        <f aca="false">'Echuca Games For'!BH6-'Echuca Games Against'!BH6</f>
        <v>95</v>
      </c>
      <c r="BI6" s="35" t="n">
        <f aca="false">'Echuca Games For'!BI6-'Echuca Games Against'!BI6</f>
        <v>36</v>
      </c>
      <c r="BJ6" s="35" t="n">
        <f aca="false">'Echuca Games For'!BJ6-'Echuca Games Against'!BJ6</f>
        <v>131</v>
      </c>
      <c r="BK6" s="35" t="n">
        <f aca="false">'Echuca Games For'!BK6-'Echuca Games Against'!BK6</f>
        <v>9</v>
      </c>
      <c r="BL6" s="35" t="n">
        <f aca="false">'Echuca Games For'!BL6-'Echuca Games Against'!BL6</f>
        <v>-4</v>
      </c>
    </row>
    <row r="7" customFormat="false" ht="15" hidden="false" customHeight="false" outlineLevel="0" collapsed="false">
      <c r="A7" s="12" t="str">
        <f aca="false">'Echuca Games For'!A7</f>
        <v>Rochester</v>
      </c>
      <c r="B7" s="34" t="n">
        <f aca="false">'Echuca Games For'!B7</f>
        <v>3</v>
      </c>
      <c r="C7" s="12" t="str">
        <f aca="false">'Echuca Games For'!C7</f>
        <v>Home &amp; away</v>
      </c>
      <c r="D7" s="12" t="str">
        <f aca="false">'Echuca Games For'!D7</f>
        <v>W</v>
      </c>
      <c r="E7" s="35" t="n">
        <f aca="false">'Echuca Games For'!E7-'Echuca Games Against'!E7</f>
        <v>18</v>
      </c>
      <c r="F7" s="35" t="n">
        <f aca="false">'Echuca Games For'!F7-'Echuca Games Against'!F7</f>
        <v>17</v>
      </c>
      <c r="G7" s="35" t="n">
        <f aca="false">'Echuca Games For'!G7-'Echuca Games Against'!G7</f>
        <v>1</v>
      </c>
      <c r="H7" s="35" t="n">
        <f aca="false">'Echuca Games For'!H7-'Echuca Games Against'!H7</f>
        <v>21</v>
      </c>
      <c r="I7" s="35" t="n">
        <f aca="false">'Echuca Games For'!I7-'Echuca Games Against'!I7</f>
        <v>15</v>
      </c>
      <c r="J7" s="35" t="n">
        <f aca="false">'Echuca Games For'!J7-'Echuca Games Against'!J7</f>
        <v>4</v>
      </c>
      <c r="K7" s="35" t="n">
        <f aca="false">'Echuca Games For'!K7-'Echuca Games Against'!K7</f>
        <v>11</v>
      </c>
      <c r="L7" s="35" t="n">
        <f aca="false">'Echuca Games For'!L7-'Echuca Games Against'!L7</f>
        <v>1</v>
      </c>
      <c r="M7" s="35" t="n">
        <f aca="false">'Echuca Games For'!M7-'Echuca Games Against'!M7</f>
        <v>7</v>
      </c>
      <c r="N7" s="35" t="n">
        <f aca="false">'Echuca Games For'!N7-'Echuca Games Against'!N7</f>
        <v>-6</v>
      </c>
      <c r="O7" s="35" t="n">
        <f aca="false">'Echuca Games For'!O7-'Echuca Games Against'!O7</f>
        <v>3</v>
      </c>
      <c r="P7" s="35" t="n">
        <f aca="false">'Echuca Games For'!P7-'Echuca Games Against'!P7</f>
        <v>1</v>
      </c>
      <c r="Q7" s="35" t="n">
        <f aca="false">'Echuca Games For'!Q7-'Echuca Games Against'!Q7</f>
        <v>2</v>
      </c>
      <c r="R7" s="35" t="n">
        <f aca="false">'Echuca Games For'!R7-'Echuca Games Against'!R7</f>
        <v>-1</v>
      </c>
      <c r="S7" s="35" t="n">
        <f aca="false">'Echuca Games For'!S7-'Echuca Games Against'!S7</f>
        <v>6</v>
      </c>
      <c r="T7" s="35" t="n">
        <f aca="false">'Echuca Games For'!T7-'Echuca Games Against'!T7</f>
        <v>203</v>
      </c>
      <c r="U7" s="35" t="n">
        <f aca="false">'Echuca Games For'!U7-'Echuca Games Against'!U7</f>
        <v>1</v>
      </c>
      <c r="V7" s="35" t="n">
        <f aca="false">'Echuca Games For'!V7-'Echuca Games Against'!V7</f>
        <v>8</v>
      </c>
      <c r="W7" s="35" t="n">
        <f aca="false">'Echuca Games For'!W7-'Echuca Games Against'!W7</f>
        <v>9</v>
      </c>
      <c r="X7" s="35" t="n">
        <f aca="false">'Echuca Games For'!X7-'Echuca Games Against'!X7</f>
        <v>3</v>
      </c>
      <c r="Y7" s="35" t="n">
        <f aca="false">'Echuca Games For'!Y7-'Echuca Games Against'!Y7</f>
        <v>5</v>
      </c>
      <c r="Z7" s="35" t="n">
        <f aca="false">'Echuca Games For'!Z7-'Echuca Games Against'!Z7</f>
        <v>1</v>
      </c>
      <c r="AA7" s="35" t="n">
        <f aca="false">'Echuca Games For'!AA7-'Echuca Games Against'!AA7</f>
        <v>8</v>
      </c>
      <c r="AB7" s="35" t="n">
        <f aca="false">'Echuca Games For'!AB7-'Echuca Games Against'!AB7</f>
        <v>-2</v>
      </c>
      <c r="AC7" s="35" t="n">
        <f aca="false">'Echuca Games For'!AC7-'Echuca Games Against'!AC7</f>
        <v>-5</v>
      </c>
      <c r="AD7" s="35" t="n">
        <f aca="false">'Echuca Games For'!AD7-'Echuca Games Against'!AD7</f>
        <v>-6</v>
      </c>
      <c r="AE7" s="35" t="n">
        <f aca="false">'Echuca Games For'!AE7-'Echuca Games Against'!AE7</f>
        <v>10</v>
      </c>
      <c r="AF7" s="35" t="n">
        <f aca="false">'Echuca Games For'!AF7-'Echuca Games Against'!AF7</f>
        <v>-3</v>
      </c>
      <c r="AG7" s="35" t="n">
        <f aca="false">'Echuca Games For'!AG7-'Echuca Games Against'!AG7</f>
        <v>2</v>
      </c>
      <c r="AH7" s="35" t="n">
        <f aca="false">'Echuca Games For'!AH7-'Echuca Games Against'!AH7</f>
        <v>-2</v>
      </c>
      <c r="AI7" s="35" t="n">
        <f aca="false">'Echuca Games For'!AI7-'Echuca Games Against'!AI7</f>
        <v>-3</v>
      </c>
      <c r="AJ7" s="35" t="n">
        <f aca="false">'Echuca Games For'!AJ7-'Echuca Games Against'!AJ7</f>
        <v>33</v>
      </c>
      <c r="AK7" s="35" t="n">
        <f aca="false">'Echuca Games For'!AK7-'Echuca Games Against'!AK7</f>
        <v>15</v>
      </c>
      <c r="AL7" s="35" t="n">
        <f aca="false">'Echuca Games For'!AL7-'Echuca Games Against'!AL7</f>
        <v>5</v>
      </c>
      <c r="AM7" s="35" t="n">
        <f aca="false">'Echuca Games For'!AM7-'Echuca Games Against'!AM7</f>
        <v>-1</v>
      </c>
      <c r="AN7" s="35" t="n">
        <f aca="false">'Echuca Games For'!AN7-'Echuca Games Against'!AN7</f>
        <v>3</v>
      </c>
      <c r="AO7" s="35" t="n">
        <f aca="false">'Echuca Games For'!AO7-'Echuca Games Against'!AO7</f>
        <v>4</v>
      </c>
      <c r="AP7" s="35" t="n">
        <f aca="false">'Echuca Games For'!AP7-'Echuca Games Against'!AP7</f>
        <v>14</v>
      </c>
      <c r="AQ7" s="35" t="n">
        <f aca="false">'Echuca Games For'!AQ7-'Echuca Games Against'!AQ7</f>
        <v>6</v>
      </c>
      <c r="AR7" s="35" t="n">
        <f aca="false">'Echuca Games For'!AR7-'Echuca Games Against'!AR7</f>
        <v>7</v>
      </c>
      <c r="AS7" s="35" t="n">
        <f aca="false">'Echuca Games For'!AS7-'Echuca Games Against'!AS7</f>
        <v>7</v>
      </c>
      <c r="AT7" s="35" t="n">
        <f aca="false">'Echuca Games For'!AT7-'Echuca Games Against'!AT7</f>
        <v>0</v>
      </c>
      <c r="AU7" s="35" t="n">
        <f aca="false">'Echuca Games For'!AU7-'Echuca Games Against'!AU7</f>
        <v>4</v>
      </c>
      <c r="AV7" s="35" t="n">
        <f aca="false">'Echuca Games For'!AV7-'Echuca Games Against'!AV7</f>
        <v>6</v>
      </c>
      <c r="AW7" s="35" t="n">
        <f aca="false">'Echuca Games For'!AW7-'Echuca Games Against'!AW7</f>
        <v>0</v>
      </c>
      <c r="AX7" s="35" t="n">
        <f aca="false">'Echuca Games For'!AX7-'Echuca Games Against'!AX7</f>
        <v>12</v>
      </c>
      <c r="AY7" s="35" t="n">
        <f aca="false">'Echuca Games For'!AY7-'Echuca Games Against'!AY7</f>
        <v>10</v>
      </c>
      <c r="AZ7" s="35" t="n">
        <f aca="false">'Echuca Games For'!AZ7-'Echuca Games Against'!AZ7</f>
        <v>-4</v>
      </c>
      <c r="BA7" s="35" t="n">
        <f aca="false">'Echuca Games For'!BA7-'Echuca Games Against'!BA7</f>
        <v>-1</v>
      </c>
      <c r="BB7" s="35" t="n">
        <f aca="false">'Echuca Games For'!BB7-'Echuca Games Against'!BB7</f>
        <v>5</v>
      </c>
      <c r="BC7" s="35" t="n">
        <f aca="false">'Echuca Games For'!BC7-'Echuca Games Against'!BC7</f>
        <v>0</v>
      </c>
      <c r="BD7" s="35" t="n">
        <f aca="false">'Echuca Games For'!BD7-'Echuca Games Against'!BD7</f>
        <v>0</v>
      </c>
      <c r="BE7" s="35" t="n">
        <f aca="false">'Echuca Games For'!BE7-'Echuca Games Against'!BE7</f>
        <v>-9</v>
      </c>
      <c r="BF7" s="35" t="n">
        <f aca="false">'Echuca Games For'!BF7-'Echuca Games Against'!BF7</f>
        <v>-4</v>
      </c>
      <c r="BG7" s="35" t="n">
        <f aca="false">'Echuca Games For'!BG7-'Echuca Games Against'!BG7</f>
        <v>-23</v>
      </c>
      <c r="BH7" s="35" t="n">
        <f aca="false">'Echuca Games For'!BH7-'Echuca Games Against'!BH7</f>
        <v>8</v>
      </c>
      <c r="BI7" s="35" t="n">
        <f aca="false">'Echuca Games For'!BI7-'Echuca Games Against'!BI7</f>
        <v>0</v>
      </c>
      <c r="BJ7" s="35" t="n">
        <f aca="false">'Echuca Games For'!BJ7-'Echuca Games Against'!BJ7</f>
        <v>8</v>
      </c>
      <c r="BK7" s="35" t="n">
        <f aca="false">'Echuca Games For'!BK7-'Echuca Games Against'!BK7</f>
        <v>2</v>
      </c>
      <c r="BL7" s="35" t="n">
        <f aca="false">'Echuca Games For'!BL7-'Echuca Games Against'!BL7</f>
        <v>-3</v>
      </c>
    </row>
    <row r="8" customFormat="false" ht="15" hidden="false" customHeight="false" outlineLevel="0" collapsed="false">
      <c r="A8" s="12" t="str">
        <f aca="false">'Echuca Games For'!A8</f>
        <v>Kyabram</v>
      </c>
      <c r="B8" s="34" t="n">
        <f aca="false">'Echuca Games For'!B8</f>
        <v>4</v>
      </c>
      <c r="C8" s="12" t="str">
        <f aca="false">'Echuca Games For'!C8</f>
        <v>Home &amp; away</v>
      </c>
      <c r="D8" s="12" t="str">
        <f aca="false">'Echuca Games For'!D8</f>
        <v>W</v>
      </c>
      <c r="E8" s="35" t="n">
        <f aca="false">'Echuca Games For'!E8-'Echuca Games Against'!E8</f>
        <v>-4</v>
      </c>
      <c r="F8" s="35" t="n">
        <f aca="false">'Echuca Games For'!F8-'Echuca Games Against'!F8</f>
        <v>6</v>
      </c>
      <c r="G8" s="35" t="n">
        <f aca="false">'Echuca Games For'!G8-'Echuca Games Against'!G8</f>
        <v>-10</v>
      </c>
      <c r="H8" s="35" t="n">
        <f aca="false">'Echuca Games For'!H8-'Echuca Games Against'!H8</f>
        <v>0</v>
      </c>
      <c r="I8" s="35" t="n">
        <f aca="false">'Echuca Games For'!I8-'Echuca Games Against'!I8</f>
        <v>0</v>
      </c>
      <c r="J8" s="35" t="n">
        <f aca="false">'Echuca Games For'!J8-'Echuca Games Against'!J8</f>
        <v>-8</v>
      </c>
      <c r="K8" s="35" t="n">
        <f aca="false">'Echuca Games For'!K8-'Echuca Games Against'!K8</f>
        <v>8</v>
      </c>
      <c r="L8" s="35" t="n">
        <f aca="false">'Echuca Games For'!L8-'Echuca Games Against'!L8</f>
        <v>0</v>
      </c>
      <c r="M8" s="35" t="n">
        <f aca="false">'Echuca Games For'!M8-'Echuca Games Against'!M8</f>
        <v>-4</v>
      </c>
      <c r="N8" s="35" t="n">
        <f aca="false">'Echuca Games For'!N8-'Echuca Games Against'!N8</f>
        <v>0</v>
      </c>
      <c r="O8" s="35" t="n">
        <f aca="false">'Echuca Games For'!O8-'Echuca Games Against'!O8</f>
        <v>-7</v>
      </c>
      <c r="P8" s="35" t="n">
        <f aca="false">'Echuca Games For'!P8-'Echuca Games Against'!P8</f>
        <v>2</v>
      </c>
      <c r="Q8" s="35" t="n">
        <f aca="false">'Echuca Games For'!Q8-'Echuca Games Against'!Q8</f>
        <v>-9</v>
      </c>
      <c r="R8" s="35" t="n">
        <f aca="false">'Echuca Games For'!R8-'Echuca Games Against'!R8</f>
        <v>-3</v>
      </c>
      <c r="S8" s="35" t="n">
        <f aca="false">'Echuca Games For'!S8-'Echuca Games Against'!S8</f>
        <v>-3</v>
      </c>
      <c r="T8" s="35" t="n">
        <f aca="false">'Echuca Games For'!T8-'Echuca Games Against'!T8</f>
        <v>-12</v>
      </c>
      <c r="U8" s="35" t="n">
        <f aca="false">'Echuca Games For'!U8-'Echuca Games Against'!U8</f>
        <v>-25</v>
      </c>
      <c r="V8" s="35" t="n">
        <f aca="false">'Echuca Games For'!V8-'Echuca Games Against'!V8</f>
        <v>-2</v>
      </c>
      <c r="W8" s="35" t="n">
        <f aca="false">'Echuca Games For'!W8-'Echuca Games Against'!W8</f>
        <v>1</v>
      </c>
      <c r="X8" s="35" t="n">
        <f aca="false">'Echuca Games For'!X8-'Echuca Games Against'!X8</f>
        <v>0</v>
      </c>
      <c r="Y8" s="35" t="n">
        <f aca="false">'Echuca Games For'!Y8-'Echuca Games Against'!Y8</f>
        <v>4</v>
      </c>
      <c r="Z8" s="35" t="n">
        <f aca="false">'Echuca Games For'!Z8-'Echuca Games Against'!Z8</f>
        <v>-3</v>
      </c>
      <c r="AA8" s="35" t="n">
        <f aca="false">'Echuca Games For'!AA8-'Echuca Games Against'!AA8</f>
        <v>-1</v>
      </c>
      <c r="AB8" s="35" t="n">
        <f aca="false">'Echuca Games For'!AB8-'Echuca Games Against'!AB8</f>
        <v>2</v>
      </c>
      <c r="AC8" s="35" t="n">
        <f aca="false">'Echuca Games For'!AC8-'Echuca Games Against'!AC8</f>
        <v>2</v>
      </c>
      <c r="AD8" s="35" t="n">
        <f aca="false">'Echuca Games For'!AD8-'Echuca Games Against'!AD8</f>
        <v>-3</v>
      </c>
      <c r="AE8" s="35" t="n">
        <f aca="false">'Echuca Games For'!AE8-'Echuca Games Against'!AE8</f>
        <v>6</v>
      </c>
      <c r="AF8" s="35" t="n">
        <f aca="false">'Echuca Games For'!AF8-'Echuca Games Against'!AF8</f>
        <v>3</v>
      </c>
      <c r="AG8" s="35" t="n">
        <f aca="false">'Echuca Games For'!AG8-'Echuca Games Against'!AG8</f>
        <v>-1</v>
      </c>
      <c r="AH8" s="35" t="n">
        <f aca="false">'Echuca Games For'!AH8-'Echuca Games Against'!AH8</f>
        <v>4</v>
      </c>
      <c r="AI8" s="35" t="n">
        <f aca="false">'Echuca Games For'!AI8-'Echuca Games Against'!AI8</f>
        <v>0</v>
      </c>
      <c r="AJ8" s="35" t="n">
        <f aca="false">'Echuca Games For'!AJ8-'Echuca Games Against'!AJ8</f>
        <v>23</v>
      </c>
      <c r="AK8" s="35" t="n">
        <f aca="false">'Echuca Games For'!AK8-'Echuca Games Against'!AK8</f>
        <v>7</v>
      </c>
      <c r="AL8" s="35" t="n">
        <f aca="false">'Echuca Games For'!AL8-'Echuca Games Against'!AL8</f>
        <v>7</v>
      </c>
      <c r="AM8" s="35" t="n">
        <f aca="false">'Echuca Games For'!AM8-'Echuca Games Against'!AM8</f>
        <v>1</v>
      </c>
      <c r="AN8" s="35" t="n">
        <f aca="false">'Echuca Games For'!AN8-'Echuca Games Against'!AN8</f>
        <v>1</v>
      </c>
      <c r="AO8" s="35" t="n">
        <f aca="false">'Echuca Games For'!AO8-'Echuca Games Against'!AO8</f>
        <v>5</v>
      </c>
      <c r="AP8" s="35" t="n">
        <f aca="false">'Echuca Games For'!AP8-'Echuca Games Against'!AP8</f>
        <v>8</v>
      </c>
      <c r="AQ8" s="35" t="n">
        <f aca="false">'Echuca Games For'!AQ8-'Echuca Games Against'!AQ8</f>
        <v>10</v>
      </c>
      <c r="AR8" s="35" t="n">
        <f aca="false">'Echuca Games For'!AR8-'Echuca Games Against'!AR8</f>
        <v>2</v>
      </c>
      <c r="AS8" s="35" t="n">
        <f aca="false">'Echuca Games For'!AS8-'Echuca Games Against'!AS8</f>
        <v>5</v>
      </c>
      <c r="AT8" s="35" t="n">
        <f aca="false">'Echuca Games For'!AT8-'Echuca Games Against'!AT8</f>
        <v>1</v>
      </c>
      <c r="AU8" s="35" t="n">
        <f aca="false">'Echuca Games For'!AU8-'Echuca Games Against'!AU8</f>
        <v>1</v>
      </c>
      <c r="AV8" s="35" t="n">
        <f aca="false">'Echuca Games For'!AV8-'Echuca Games Against'!AV8</f>
        <v>7</v>
      </c>
      <c r="AW8" s="35" t="n">
        <f aca="false">'Echuca Games For'!AW8-'Echuca Games Against'!AW8</f>
        <v>-4</v>
      </c>
      <c r="AX8" s="35" t="n">
        <f aca="false">'Echuca Games For'!AX8-'Echuca Games Against'!AX8</f>
        <v>10</v>
      </c>
      <c r="AY8" s="35" t="n">
        <f aca="false">'Echuca Games For'!AY8-'Echuca Games Against'!AY8</f>
        <v>4</v>
      </c>
      <c r="AZ8" s="35" t="n">
        <f aca="false">'Echuca Games For'!AZ8-'Echuca Games Against'!AZ8</f>
        <v>-5</v>
      </c>
      <c r="BA8" s="35" t="n">
        <f aca="false">'Echuca Games For'!BA8-'Echuca Games Against'!BA8</f>
        <v>-5</v>
      </c>
      <c r="BB8" s="35" t="n">
        <f aca="false">'Echuca Games For'!BB8-'Echuca Games Against'!BB8</f>
        <v>-10</v>
      </c>
      <c r="BC8" s="35" t="n">
        <f aca="false">'Echuca Games For'!BC8-'Echuca Games Against'!BC8</f>
        <v>-6</v>
      </c>
      <c r="BD8" s="35" t="n">
        <f aca="false">'Echuca Games For'!BD8-'Echuca Games Against'!BD8</f>
        <v>1</v>
      </c>
      <c r="BE8" s="35" t="n">
        <f aca="false">'Echuca Games For'!BE8-'Echuca Games Against'!BE8</f>
        <v>-4</v>
      </c>
      <c r="BF8" s="35" t="n">
        <f aca="false">'Echuca Games For'!BF8-'Echuca Games Against'!BF8</f>
        <v>6</v>
      </c>
      <c r="BG8" s="35" t="n">
        <f aca="false">'Echuca Games For'!BG8-'Echuca Games Against'!BG8</f>
        <v>6</v>
      </c>
      <c r="BH8" s="35" t="n">
        <f aca="false">'Echuca Games For'!BH8-'Echuca Games Against'!BH8</f>
        <v>-11</v>
      </c>
      <c r="BI8" s="35" t="n">
        <f aca="false">'Echuca Games For'!BI8-'Echuca Games Against'!BI8</f>
        <v>-6</v>
      </c>
      <c r="BJ8" s="35" t="n">
        <f aca="false">'Echuca Games For'!BJ8-'Echuca Games Against'!BJ8</f>
        <v>-17</v>
      </c>
      <c r="BK8" s="35" t="n">
        <f aca="false">'Echuca Games For'!BK8-'Echuca Games Against'!BK8</f>
        <v>-1</v>
      </c>
      <c r="BL8" s="35" t="n">
        <f aca="false">'Echuca Games For'!BL8-'Echuca Games Against'!BL8</f>
        <v>3</v>
      </c>
    </row>
    <row r="9" customFormat="false" ht="15" hidden="false" customHeight="false" outlineLevel="0" collapsed="false">
      <c r="A9" s="12" t="str">
        <f aca="false">'Echuca Games For'!A9</f>
        <v>Mooroopna</v>
      </c>
      <c r="B9" s="34" t="n">
        <f aca="false">'Echuca Games For'!B9</f>
        <v>5</v>
      </c>
      <c r="C9" s="12" t="str">
        <f aca="false">'Echuca Games For'!C9</f>
        <v>Home &amp; away</v>
      </c>
      <c r="D9" s="12" t="str">
        <f aca="false">'Echuca Games For'!D9</f>
        <v>W</v>
      </c>
      <c r="E9" s="35" t="n">
        <f aca="false">'Echuca Games For'!E9-'Echuca Games Against'!E9</f>
        <v>13</v>
      </c>
      <c r="F9" s="35" t="n">
        <f aca="false">'Echuca Games For'!F9-'Echuca Games Against'!F9</f>
        <v>23</v>
      </c>
      <c r="G9" s="35" t="n">
        <f aca="false">'Echuca Games For'!G9-'Echuca Games Against'!G9</f>
        <v>-10</v>
      </c>
      <c r="H9" s="35" t="n">
        <f aca="false">'Echuca Games For'!H9-'Echuca Games Against'!H9</f>
        <v>31</v>
      </c>
      <c r="I9" s="35" t="n">
        <f aca="false">'Echuca Games For'!I9-'Echuca Games Against'!I9</f>
        <v>29</v>
      </c>
      <c r="J9" s="35" t="n">
        <f aca="false">'Echuca Games For'!J9-'Echuca Games Against'!J9</f>
        <v>0</v>
      </c>
      <c r="K9" s="35" t="n">
        <f aca="false">'Echuca Games For'!K9-'Echuca Games Against'!K9</f>
        <v>29</v>
      </c>
      <c r="L9" s="35" t="n">
        <f aca="false">'Echuca Games For'!L9-'Echuca Games Against'!L9</f>
        <v>11</v>
      </c>
      <c r="M9" s="35" t="n">
        <f aca="false">'Echuca Games For'!M9-'Echuca Games Against'!M9</f>
        <v>-5</v>
      </c>
      <c r="N9" s="35" t="n">
        <f aca="false">'Echuca Games For'!N9-'Echuca Games Against'!N9</f>
        <v>3</v>
      </c>
      <c r="O9" s="35" t="n">
        <f aca="false">'Echuca Games For'!O9-'Echuca Games Against'!O9</f>
        <v>3</v>
      </c>
      <c r="P9" s="35" t="n">
        <f aca="false">'Echuca Games For'!P9-'Echuca Games Against'!P9</f>
        <v>4</v>
      </c>
      <c r="Q9" s="35" t="n">
        <f aca="false">'Echuca Games For'!Q9-'Echuca Games Against'!Q9</f>
        <v>-1</v>
      </c>
      <c r="R9" s="35" t="n">
        <f aca="false">'Echuca Games For'!R9-'Echuca Games Against'!R9</f>
        <v>-2</v>
      </c>
      <c r="S9" s="35" t="n">
        <f aca="false">'Echuca Games For'!S9-'Echuca Games Against'!S9</f>
        <v>6</v>
      </c>
      <c r="T9" s="35" t="n">
        <f aca="false">'Echuca Games For'!T9-'Echuca Games Against'!T9</f>
        <v>198</v>
      </c>
      <c r="U9" s="35" t="n">
        <f aca="false">'Echuca Games For'!U9-'Echuca Games Against'!U9</f>
        <v>-3</v>
      </c>
      <c r="V9" s="35" t="n">
        <f aca="false">'Echuca Games For'!V9-'Echuca Games Against'!V9</f>
        <v>-3</v>
      </c>
      <c r="W9" s="35" t="n">
        <f aca="false">'Echuca Games For'!W9-'Echuca Games Against'!W9</f>
        <v>-12</v>
      </c>
      <c r="X9" s="35" t="n">
        <f aca="false">'Echuca Games For'!X9-'Echuca Games Against'!X9</f>
        <v>1</v>
      </c>
      <c r="Y9" s="35" t="n">
        <f aca="false">'Echuca Games For'!Y9-'Echuca Games Against'!Y9</f>
        <v>-3</v>
      </c>
      <c r="Z9" s="35" t="n">
        <f aca="false">'Echuca Games For'!Z9-'Echuca Games Against'!Z9</f>
        <v>-10</v>
      </c>
      <c r="AA9" s="35" t="n">
        <f aca="false">'Echuca Games For'!AA9-'Echuca Games Against'!AA9</f>
        <v>33</v>
      </c>
      <c r="AB9" s="35" t="n">
        <f aca="false">'Echuca Games For'!AB9-'Echuca Games Against'!AB9</f>
        <v>-30</v>
      </c>
      <c r="AC9" s="35" t="n">
        <f aca="false">'Echuca Games For'!AC9-'Echuca Games Against'!AC9</f>
        <v>1</v>
      </c>
      <c r="AD9" s="35" t="n">
        <f aca="false">'Echuca Games For'!AD9-'Echuca Games Against'!AD9</f>
        <v>-14</v>
      </c>
      <c r="AE9" s="35" t="n">
        <f aca="false">'Echuca Games For'!AE9-'Echuca Games Against'!AE9</f>
        <v>2</v>
      </c>
      <c r="AF9" s="35" t="n">
        <f aca="false">'Echuca Games For'!AF9-'Echuca Games Against'!AF9</f>
        <v>-13</v>
      </c>
      <c r="AG9" s="35" t="n">
        <f aca="false">'Echuca Games For'!AG9-'Echuca Games Against'!AG9</f>
        <v>-5</v>
      </c>
      <c r="AH9" s="35" t="n">
        <f aca="false">'Echuca Games For'!AH9-'Echuca Games Against'!AH9</f>
        <v>-23</v>
      </c>
      <c r="AI9" s="35" t="n">
        <f aca="false">'Echuca Games For'!AI9-'Echuca Games Against'!AI9</f>
        <v>15</v>
      </c>
      <c r="AJ9" s="35" t="n">
        <f aca="false">'Echuca Games For'!AJ9-'Echuca Games Against'!AJ9</f>
        <v>40</v>
      </c>
      <c r="AK9" s="35" t="n">
        <f aca="false">'Echuca Games For'!AK9-'Echuca Games Against'!AK9</f>
        <v>35</v>
      </c>
      <c r="AL9" s="35" t="n">
        <f aca="false">'Echuca Games For'!AL9-'Echuca Games Against'!AL9</f>
        <v>1</v>
      </c>
      <c r="AM9" s="35" t="n">
        <f aca="false">'Echuca Games For'!AM9-'Echuca Games Against'!AM9</f>
        <v>3</v>
      </c>
      <c r="AN9" s="35" t="n">
        <f aca="false">'Echuca Games For'!AN9-'Echuca Games Against'!AN9</f>
        <v>-7</v>
      </c>
      <c r="AO9" s="35" t="n">
        <f aca="false">'Echuca Games For'!AO9-'Echuca Games Against'!AO9</f>
        <v>17</v>
      </c>
      <c r="AP9" s="35" t="n">
        <f aca="false">'Echuca Games For'!AP9-'Echuca Games Against'!AP9</f>
        <v>1</v>
      </c>
      <c r="AQ9" s="35" t="n">
        <f aca="false">'Echuca Games For'!AQ9-'Echuca Games Against'!AQ9</f>
        <v>-1</v>
      </c>
      <c r="AR9" s="35" t="n">
        <f aca="false">'Echuca Games For'!AR9-'Echuca Games Against'!AR9</f>
        <v>6</v>
      </c>
      <c r="AS9" s="35" t="n">
        <f aca="false">'Echuca Games For'!AS9-'Echuca Games Against'!AS9</f>
        <v>10</v>
      </c>
      <c r="AT9" s="35" t="n">
        <f aca="false">'Echuca Games For'!AT9-'Echuca Games Against'!AT9</f>
        <v>-15</v>
      </c>
      <c r="AU9" s="35" t="n">
        <f aca="false">'Echuca Games For'!AU9-'Echuca Games Against'!AU9</f>
        <v>5</v>
      </c>
      <c r="AV9" s="35" t="n">
        <f aca="false">'Echuca Games For'!AV9-'Echuca Games Against'!AV9</f>
        <v>12</v>
      </c>
      <c r="AW9" s="35" t="n">
        <f aca="false">'Echuca Games For'!AW9-'Echuca Games Against'!AW9</f>
        <v>1</v>
      </c>
      <c r="AX9" s="35" t="n">
        <f aca="false">'Echuca Games For'!AX9-'Echuca Games Against'!AX9</f>
        <v>2</v>
      </c>
      <c r="AY9" s="35" t="n">
        <f aca="false">'Echuca Games For'!AY9-'Echuca Games Against'!AY9</f>
        <v>18</v>
      </c>
      <c r="AZ9" s="35" t="n">
        <f aca="false">'Echuca Games For'!AZ9-'Echuca Games Against'!AZ9</f>
        <v>-10</v>
      </c>
      <c r="BA9" s="35" t="n">
        <f aca="false">'Echuca Games For'!BA9-'Echuca Games Against'!BA9</f>
        <v>6</v>
      </c>
      <c r="BB9" s="35" t="n">
        <f aca="false">'Echuca Games For'!BB9-'Echuca Games Against'!BB9</f>
        <v>10</v>
      </c>
      <c r="BC9" s="35" t="n">
        <f aca="false">'Echuca Games For'!BC9-'Echuca Games Against'!BC9</f>
        <v>9</v>
      </c>
      <c r="BD9" s="35" t="n">
        <f aca="false">'Echuca Games For'!BD9-'Echuca Games Against'!BD9</f>
        <v>3</v>
      </c>
      <c r="BE9" s="35" t="n">
        <f aca="false">'Echuca Games For'!BE9-'Echuca Games Against'!BE9</f>
        <v>7</v>
      </c>
      <c r="BF9" s="35" t="n">
        <f aca="false">'Echuca Games For'!BF9-'Echuca Games Against'!BF9</f>
        <v>38</v>
      </c>
      <c r="BG9" s="35" t="n">
        <f aca="false">'Echuca Games For'!BG9-'Echuca Games Against'!BG9</f>
        <v>19</v>
      </c>
      <c r="BH9" s="35" t="n">
        <f aca="false">'Echuca Games For'!BH9-'Echuca Games Against'!BH9</f>
        <v>33</v>
      </c>
      <c r="BI9" s="35" t="n">
        <f aca="false">'Echuca Games For'!BI9-'Echuca Games Against'!BI9</f>
        <v>-4</v>
      </c>
      <c r="BJ9" s="35" t="n">
        <f aca="false">'Echuca Games For'!BJ9-'Echuca Games Against'!BJ9</f>
        <v>29</v>
      </c>
      <c r="BK9" s="35" t="n">
        <f aca="false">'Echuca Games For'!BK9-'Echuca Games Against'!BK9</f>
        <v>-4</v>
      </c>
      <c r="BL9" s="35" t="n">
        <f aca="false">'Echuca Games For'!BL9-'Echuca Games Against'!BL9</f>
        <v>-5</v>
      </c>
    </row>
    <row r="10" customFormat="false" ht="15" hidden="false" customHeight="false" outlineLevel="0" collapsed="false">
      <c r="A10" s="12" t="str">
        <f aca="false">'Echuca Games For'!A10</f>
        <v>Shepparton United</v>
      </c>
      <c r="B10" s="34" t="n">
        <f aca="false">'Echuca Games For'!B10</f>
        <v>6</v>
      </c>
      <c r="C10" s="12" t="str">
        <f aca="false">'Echuca Games For'!C10</f>
        <v>Home &amp; away</v>
      </c>
      <c r="D10" s="12" t="str">
        <f aca="false">'Echuca Games For'!D10</f>
        <v>W</v>
      </c>
      <c r="E10" s="35" t="n">
        <f aca="false">'Echuca Games For'!E10-'Echuca Games Against'!E10</f>
        <v>2</v>
      </c>
      <c r="F10" s="35" t="n">
        <f aca="false">'Echuca Games For'!F10-'Echuca Games Against'!F10</f>
        <v>-17</v>
      </c>
      <c r="G10" s="35" t="n">
        <f aca="false">'Echuca Games For'!G10-'Echuca Games Against'!G10</f>
        <v>19</v>
      </c>
      <c r="H10" s="35" t="n">
        <f aca="false">'Echuca Games For'!H10-'Echuca Games Against'!H10</f>
        <v>-3</v>
      </c>
      <c r="I10" s="35" t="n">
        <f aca="false">'Echuca Games For'!I10-'Echuca Games Against'!I10</f>
        <v>0</v>
      </c>
      <c r="J10" s="35" t="n">
        <f aca="false">'Echuca Games For'!J10-'Echuca Games Against'!J10</f>
        <v>-1</v>
      </c>
      <c r="K10" s="35" t="n">
        <f aca="false">'Echuca Games For'!K10-'Echuca Games Against'!K10</f>
        <v>1</v>
      </c>
      <c r="L10" s="35" t="n">
        <f aca="false">'Echuca Games For'!L10-'Echuca Games Against'!L10</f>
        <v>-9</v>
      </c>
      <c r="M10" s="35" t="n">
        <f aca="false">'Echuca Games For'!M10-'Echuca Games Against'!M10</f>
        <v>10</v>
      </c>
      <c r="N10" s="35" t="n">
        <f aca="false">'Echuca Games For'!N10-'Echuca Games Against'!N10</f>
        <v>10</v>
      </c>
      <c r="O10" s="35" t="n">
        <f aca="false">'Echuca Games For'!O10-'Echuca Games Against'!O10</f>
        <v>-24</v>
      </c>
      <c r="P10" s="35" t="n">
        <f aca="false">'Echuca Games For'!P10-'Echuca Games Against'!P10</f>
        <v>-7</v>
      </c>
      <c r="Q10" s="35" t="n">
        <f aca="false">'Echuca Games For'!Q10-'Echuca Games Against'!Q10</f>
        <v>-17</v>
      </c>
      <c r="R10" s="35" t="n">
        <f aca="false">'Echuca Games For'!R10-'Echuca Games Against'!R10</f>
        <v>-3</v>
      </c>
      <c r="S10" s="35" t="n">
        <f aca="false">'Echuca Games For'!S10-'Echuca Games Against'!S10</f>
        <v>-3</v>
      </c>
      <c r="T10" s="35" t="n">
        <f aca="false">'Echuca Games For'!T10-'Echuca Games Against'!T10</f>
        <v>65</v>
      </c>
      <c r="U10" s="35" t="n">
        <f aca="false">'Echuca Games For'!U10-'Echuca Games Against'!U10</f>
        <v>20</v>
      </c>
      <c r="V10" s="35" t="n">
        <f aca="false">'Echuca Games For'!V10-'Echuca Games Against'!V10</f>
        <v>6</v>
      </c>
      <c r="W10" s="35" t="n">
        <f aca="false">'Echuca Games For'!W10-'Echuca Games Against'!W10</f>
        <v>9</v>
      </c>
      <c r="X10" s="35" t="n">
        <f aca="false">'Echuca Games For'!X10-'Echuca Games Against'!X10</f>
        <v>2</v>
      </c>
      <c r="Y10" s="35" t="n">
        <f aca="false">'Echuca Games For'!Y10-'Echuca Games Against'!Y10</f>
        <v>3</v>
      </c>
      <c r="Z10" s="35" t="n">
        <f aca="false">'Echuca Games For'!Z10-'Echuca Games Against'!Z10</f>
        <v>4</v>
      </c>
      <c r="AA10" s="35" t="n">
        <f aca="false">'Echuca Games For'!AA10-'Echuca Games Against'!AA10</f>
        <v>0</v>
      </c>
      <c r="AB10" s="35" t="n">
        <f aca="false">'Echuca Games For'!AB10-'Echuca Games Against'!AB10</f>
        <v>7</v>
      </c>
      <c r="AC10" s="35" t="n">
        <f aca="false">'Echuca Games For'!AC10-'Echuca Games Against'!AC10</f>
        <v>-3</v>
      </c>
      <c r="AD10" s="35" t="n">
        <f aca="false">'Echuca Games For'!AD10-'Echuca Games Against'!AD10</f>
        <v>5</v>
      </c>
      <c r="AE10" s="35" t="n">
        <f aca="false">'Echuca Games For'!AE10-'Echuca Games Against'!AE10</f>
        <v>7</v>
      </c>
      <c r="AF10" s="35" t="n">
        <f aca="false">'Echuca Games For'!AF10-'Echuca Games Against'!AF10</f>
        <v>2</v>
      </c>
      <c r="AG10" s="35" t="n">
        <f aca="false">'Echuca Games For'!AG10-'Echuca Games Against'!AG10</f>
        <v>-4</v>
      </c>
      <c r="AH10" s="35" t="n">
        <f aca="false">'Echuca Games For'!AH10-'Echuca Games Against'!AH10</f>
        <v>1</v>
      </c>
      <c r="AI10" s="35" t="n">
        <f aca="false">'Echuca Games For'!AI10-'Echuca Games Against'!AI10</f>
        <v>5</v>
      </c>
      <c r="AJ10" s="35" t="n">
        <f aca="false">'Echuca Games For'!AJ10-'Echuca Games Against'!AJ10</f>
        <v>30</v>
      </c>
      <c r="AK10" s="35" t="n">
        <f aca="false">'Echuca Games For'!AK10-'Echuca Games Against'!AK10</f>
        <v>7</v>
      </c>
      <c r="AL10" s="35" t="n">
        <f aca="false">'Echuca Games For'!AL10-'Echuca Games Against'!AL10</f>
        <v>2</v>
      </c>
      <c r="AM10" s="35" t="n">
        <f aca="false">'Echuca Games For'!AM10-'Echuca Games Against'!AM10</f>
        <v>4</v>
      </c>
      <c r="AN10" s="35" t="n">
        <f aca="false">'Echuca Games For'!AN10-'Echuca Games Against'!AN10</f>
        <v>1</v>
      </c>
      <c r="AO10" s="35" t="n">
        <f aca="false">'Echuca Games For'!AO10-'Echuca Games Against'!AO10</f>
        <v>1</v>
      </c>
      <c r="AP10" s="35" t="n">
        <f aca="false">'Echuca Games For'!AP10-'Echuca Games Against'!AP10</f>
        <v>17</v>
      </c>
      <c r="AQ10" s="35" t="n">
        <f aca="false">'Echuca Games For'!AQ10-'Echuca Games Against'!AQ10</f>
        <v>12</v>
      </c>
      <c r="AR10" s="35" t="n">
        <f aca="false">'Echuca Games For'!AR10-'Echuca Games Against'!AR10</f>
        <v>13</v>
      </c>
      <c r="AS10" s="35" t="n">
        <f aca="false">'Echuca Games For'!AS10-'Echuca Games Against'!AS10</f>
        <v>20</v>
      </c>
      <c r="AT10" s="35" t="n">
        <f aca="false">'Echuca Games For'!AT10-'Echuca Games Against'!AT10</f>
        <v>-16</v>
      </c>
      <c r="AU10" s="35" t="n">
        <f aca="false">'Echuca Games For'!AU10-'Echuca Games Against'!AU10</f>
        <v>7</v>
      </c>
      <c r="AV10" s="35" t="n">
        <f aca="false">'Echuca Games For'!AV10-'Echuca Games Against'!AV10</f>
        <v>-1</v>
      </c>
      <c r="AW10" s="35" t="n">
        <f aca="false">'Echuca Games For'!AW10-'Echuca Games Against'!AW10</f>
        <v>-4</v>
      </c>
      <c r="AX10" s="35" t="n">
        <f aca="false">'Echuca Games For'!AX10-'Echuca Games Against'!AX10</f>
        <v>5</v>
      </c>
      <c r="AY10" s="35" t="n">
        <f aca="false">'Echuca Games For'!AY10-'Echuca Games Against'!AY10</f>
        <v>2</v>
      </c>
      <c r="AZ10" s="35" t="n">
        <f aca="false">'Echuca Games For'!AZ10-'Echuca Games Against'!AZ10</f>
        <v>28</v>
      </c>
      <c r="BA10" s="35" t="n">
        <f aca="false">'Echuca Games For'!BA10-'Echuca Games Against'!BA10</f>
        <v>0</v>
      </c>
      <c r="BB10" s="35" t="n">
        <f aca="false">'Echuca Games For'!BB10-'Echuca Games Against'!BB10</f>
        <v>10</v>
      </c>
      <c r="BC10" s="35" t="n">
        <f aca="false">'Echuca Games For'!BC10-'Echuca Games Against'!BC10</f>
        <v>3</v>
      </c>
      <c r="BD10" s="35" t="n">
        <f aca="false">'Echuca Games For'!BD10-'Echuca Games Against'!BD10</f>
        <v>-7</v>
      </c>
      <c r="BE10" s="35" t="n">
        <f aca="false">'Echuca Games For'!BE10-'Echuca Games Against'!BE10</f>
        <v>2</v>
      </c>
      <c r="BF10" s="35" t="n">
        <f aca="false">'Echuca Games For'!BF10-'Echuca Games Against'!BF10</f>
        <v>-9</v>
      </c>
      <c r="BG10" s="35" t="n">
        <f aca="false">'Echuca Games For'!BG10-'Echuca Games Against'!BG10</f>
        <v>4</v>
      </c>
      <c r="BH10" s="35" t="n">
        <f aca="false">'Echuca Games For'!BH10-'Echuca Games Against'!BH10</f>
        <v>-4</v>
      </c>
      <c r="BI10" s="35" t="n">
        <f aca="false">'Echuca Games For'!BI10-'Echuca Games Against'!BI10</f>
        <v>6</v>
      </c>
      <c r="BJ10" s="35" t="n">
        <f aca="false">'Echuca Games For'!BJ10-'Echuca Games Against'!BJ10</f>
        <v>2</v>
      </c>
      <c r="BK10" s="35" t="n">
        <f aca="false">'Echuca Games For'!BK10-'Echuca Games Against'!BK10</f>
        <v>6</v>
      </c>
      <c r="BL10" s="35" t="n">
        <f aca="false">'Echuca Games For'!BL10-'Echuca Games Against'!BL10</f>
        <v>1</v>
      </c>
    </row>
    <row r="11" customFormat="false" ht="15" hidden="false" customHeight="false" outlineLevel="0" collapsed="false">
      <c r="A11" s="12" t="str">
        <f aca="false">'Echuca Games For'!A11</f>
        <v>Seymour</v>
      </c>
      <c r="B11" s="34" t="n">
        <f aca="false">'Echuca Games For'!B11</f>
        <v>7</v>
      </c>
      <c r="C11" s="12" t="str">
        <f aca="false">'Echuca Games For'!C11</f>
        <v>Home &amp; away</v>
      </c>
      <c r="D11" s="12" t="str">
        <f aca="false">'Echuca Games For'!D11</f>
        <v>L</v>
      </c>
      <c r="E11" s="35" t="n">
        <f aca="false">'Echuca Games For'!E11-'Echuca Games Against'!E11</f>
        <v>3</v>
      </c>
      <c r="F11" s="35" t="n">
        <f aca="false">'Echuca Games For'!F11-'Echuca Games Against'!F11</f>
        <v>-1</v>
      </c>
      <c r="G11" s="35" t="n">
        <f aca="false">'Echuca Games For'!G11-'Echuca Games Against'!G11</f>
        <v>4</v>
      </c>
      <c r="H11" s="35" t="n">
        <f aca="false">'Echuca Games For'!H11-'Echuca Games Against'!H11</f>
        <v>6</v>
      </c>
      <c r="I11" s="35" t="n">
        <f aca="false">'Echuca Games For'!I11-'Echuca Games Against'!I11</f>
        <v>4</v>
      </c>
      <c r="J11" s="35" t="n">
        <f aca="false">'Echuca Games For'!J11-'Echuca Games Against'!J11</f>
        <v>4</v>
      </c>
      <c r="K11" s="35" t="n">
        <f aca="false">'Echuca Games For'!K11-'Echuca Games Against'!K11</f>
        <v>0</v>
      </c>
      <c r="L11" s="35" t="n">
        <f aca="false">'Echuca Games For'!L11-'Echuca Games Against'!L11</f>
        <v>-3</v>
      </c>
      <c r="M11" s="35" t="n">
        <f aca="false">'Echuca Games For'!M11-'Echuca Games Against'!M11</f>
        <v>7</v>
      </c>
      <c r="N11" s="35" t="n">
        <f aca="false">'Echuca Games For'!N11-'Echuca Games Against'!N11</f>
        <v>-4</v>
      </c>
      <c r="O11" s="35" t="n">
        <f aca="false">'Echuca Games For'!O11-'Echuca Games Against'!O11</f>
        <v>-2</v>
      </c>
      <c r="P11" s="35" t="n">
        <f aca="false">'Echuca Games For'!P11-'Echuca Games Against'!P11</f>
        <v>2</v>
      </c>
      <c r="Q11" s="35" t="n">
        <f aca="false">'Echuca Games For'!Q11-'Echuca Games Against'!Q11</f>
        <v>-4</v>
      </c>
      <c r="R11" s="35" t="n">
        <f aca="false">'Echuca Games For'!R11-'Echuca Games Against'!R11</f>
        <v>2</v>
      </c>
      <c r="S11" s="35" t="n">
        <f aca="false">'Echuca Games For'!S11-'Echuca Games Against'!S11</f>
        <v>-1</v>
      </c>
      <c r="T11" s="35" t="n">
        <f aca="false">'Echuca Games For'!T11-'Echuca Games Against'!T11</f>
        <v>-47</v>
      </c>
      <c r="U11" s="35" t="n">
        <f aca="false">'Echuca Games For'!U11-'Echuca Games Against'!U11</f>
        <v>-35</v>
      </c>
      <c r="V11" s="35" t="n">
        <f aca="false">'Echuca Games For'!V11-'Echuca Games Against'!V11</f>
        <v>-4</v>
      </c>
      <c r="W11" s="35" t="n">
        <f aca="false">'Echuca Games For'!W11-'Echuca Games Against'!W11</f>
        <v>-12</v>
      </c>
      <c r="X11" s="35" t="n">
        <f aca="false">'Echuca Games For'!X11-'Echuca Games Against'!X11</f>
        <v>-1</v>
      </c>
      <c r="Y11" s="35" t="n">
        <f aca="false">'Echuca Games For'!Y11-'Echuca Games Against'!Y11</f>
        <v>-5</v>
      </c>
      <c r="Z11" s="35" t="n">
        <f aca="false">'Echuca Games For'!Z11-'Echuca Games Against'!Z11</f>
        <v>-6</v>
      </c>
      <c r="AA11" s="35" t="n">
        <f aca="false">'Echuca Games For'!AA11-'Echuca Games Against'!AA11</f>
        <v>-22</v>
      </c>
      <c r="AB11" s="35" t="n">
        <f aca="false">'Echuca Games For'!AB11-'Echuca Games Against'!AB11</f>
        <v>12</v>
      </c>
      <c r="AC11" s="35" t="n">
        <f aca="false">'Echuca Games For'!AC11-'Echuca Games Against'!AC11</f>
        <v>-5</v>
      </c>
      <c r="AD11" s="35" t="n">
        <f aca="false">'Echuca Games For'!AD11-'Echuca Games Against'!AD11</f>
        <v>4</v>
      </c>
      <c r="AE11" s="35" t="n">
        <f aca="false">'Echuca Games For'!AE11-'Echuca Games Against'!AE11</f>
        <v>15</v>
      </c>
      <c r="AF11" s="35" t="n">
        <f aca="false">'Echuca Games For'!AF11-'Echuca Games Against'!AF11</f>
        <v>4</v>
      </c>
      <c r="AG11" s="35" t="n">
        <f aca="false">'Echuca Games For'!AG11-'Echuca Games Against'!AG11</f>
        <v>8</v>
      </c>
      <c r="AH11" s="35" t="n">
        <f aca="false">'Echuca Games For'!AH11-'Echuca Games Against'!AH11</f>
        <v>6</v>
      </c>
      <c r="AI11" s="35" t="n">
        <f aca="false">'Echuca Games For'!AI11-'Echuca Games Against'!AI11</f>
        <v>-10</v>
      </c>
      <c r="AJ11" s="35" t="n">
        <f aca="false">'Echuca Games For'!AJ11-'Echuca Games Against'!AJ11</f>
        <v>14</v>
      </c>
      <c r="AK11" s="35" t="n">
        <f aca="false">'Echuca Games For'!AK11-'Echuca Games Against'!AK11</f>
        <v>-16</v>
      </c>
      <c r="AL11" s="35" t="n">
        <f aca="false">'Echuca Games For'!AL11-'Echuca Games Against'!AL11</f>
        <v>8</v>
      </c>
      <c r="AM11" s="35" t="n">
        <f aca="false">'Echuca Games For'!AM11-'Echuca Games Against'!AM11</f>
        <v>7</v>
      </c>
      <c r="AN11" s="35" t="n">
        <f aca="false">'Echuca Games For'!AN11-'Echuca Games Against'!AN11</f>
        <v>3</v>
      </c>
      <c r="AO11" s="35" t="n">
        <f aca="false">'Echuca Games For'!AO11-'Echuca Games Against'!AO11</f>
        <v>-2</v>
      </c>
      <c r="AP11" s="35" t="n">
        <f aca="false">'Echuca Games For'!AP11-'Echuca Games Against'!AP11</f>
        <v>15</v>
      </c>
      <c r="AQ11" s="35" t="n">
        <f aca="false">'Echuca Games For'!AQ11-'Echuca Games Against'!AQ11</f>
        <v>4</v>
      </c>
      <c r="AR11" s="35" t="n">
        <f aca="false">'Echuca Games For'!AR11-'Echuca Games Against'!AR11</f>
        <v>2</v>
      </c>
      <c r="AS11" s="35" t="n">
        <f aca="false">'Echuca Games For'!AS11-'Echuca Games Against'!AS11</f>
        <v>6</v>
      </c>
      <c r="AT11" s="35" t="n">
        <f aca="false">'Echuca Games For'!AT11-'Echuca Games Against'!AT11</f>
        <v>7</v>
      </c>
      <c r="AU11" s="35" t="n">
        <f aca="false">'Echuca Games For'!AU11-'Echuca Games Against'!AU11</f>
        <v>-5</v>
      </c>
      <c r="AV11" s="35" t="n">
        <f aca="false">'Echuca Games For'!AV11-'Echuca Games Against'!AV11</f>
        <v>2</v>
      </c>
      <c r="AW11" s="35" t="n">
        <f aca="false">'Echuca Games For'!AW11-'Echuca Games Against'!AW11</f>
        <v>-6</v>
      </c>
      <c r="AX11" s="35" t="n">
        <f aca="false">'Echuca Games For'!AX11-'Echuca Games Against'!AX11</f>
        <v>0</v>
      </c>
      <c r="AY11" s="35" t="n">
        <f aca="false">'Echuca Games For'!AY11-'Echuca Games Against'!AY11</f>
        <v>-9</v>
      </c>
      <c r="AZ11" s="35" t="n">
        <f aca="false">'Echuca Games For'!AZ11-'Echuca Games Against'!AZ11</f>
        <v>-4</v>
      </c>
      <c r="BA11" s="35" t="n">
        <f aca="false">'Echuca Games For'!BA11-'Echuca Games Against'!BA11</f>
        <v>4</v>
      </c>
      <c r="BB11" s="35" t="n">
        <f aca="false">'Echuca Games For'!BB11-'Echuca Games Against'!BB11</f>
        <v>11</v>
      </c>
      <c r="BC11" s="35" t="n">
        <f aca="false">'Echuca Games For'!BC11-'Echuca Games Against'!BC11</f>
        <v>6</v>
      </c>
      <c r="BD11" s="35" t="n">
        <f aca="false">'Echuca Games For'!BD11-'Echuca Games Against'!BD11</f>
        <v>-1</v>
      </c>
      <c r="BE11" s="35" t="n">
        <f aca="false">'Echuca Games For'!BE11-'Echuca Games Against'!BE11</f>
        <v>26</v>
      </c>
      <c r="BF11" s="35" t="n">
        <f aca="false">'Echuca Games For'!BF11-'Echuca Games Against'!BF11</f>
        <v>31</v>
      </c>
      <c r="BG11" s="35" t="n">
        <f aca="false">'Echuca Games For'!BG11-'Echuca Games Against'!BG11</f>
        <v>16</v>
      </c>
      <c r="BH11" s="35" t="n">
        <f aca="false">'Echuca Games For'!BH11-'Echuca Games Against'!BH11</f>
        <v>13</v>
      </c>
      <c r="BI11" s="35" t="n">
        <f aca="false">'Echuca Games For'!BI11-'Echuca Games Against'!BI11</f>
        <v>2</v>
      </c>
      <c r="BJ11" s="35" t="n">
        <f aca="false">'Echuca Games For'!BJ11-'Echuca Games Against'!BJ11</f>
        <v>15</v>
      </c>
      <c r="BK11" s="35" t="n">
        <f aca="false">'Echuca Games For'!BK11-'Echuca Games Against'!BK11</f>
        <v>4</v>
      </c>
      <c r="BL11" s="35" t="n">
        <f aca="false">'Echuca Games For'!BL11-'Echuca Games Against'!BL11</f>
        <v>19</v>
      </c>
    </row>
    <row r="12" customFormat="false" ht="15" hidden="false" customHeight="false" outlineLevel="0" collapsed="false">
      <c r="A12" s="12" t="str">
        <f aca="false">'Echuca Games For'!A12</f>
        <v>Shepparton Bears</v>
      </c>
      <c r="B12" s="34" t="n">
        <f aca="false">'Echuca Games For'!B12</f>
        <v>8</v>
      </c>
      <c r="C12" s="12" t="str">
        <f aca="false">'Echuca Games For'!C12</f>
        <v>Home &amp; away</v>
      </c>
      <c r="D12" s="12" t="str">
        <f aca="false">'Echuca Games For'!D12</f>
        <v>W</v>
      </c>
      <c r="E12" s="35" t="n">
        <f aca="false">'Echuca Games For'!E12-'Echuca Games Against'!E12</f>
        <v>0</v>
      </c>
      <c r="F12" s="35" t="n">
        <f aca="false">'Echuca Games For'!F12-'Echuca Games Against'!F12</f>
        <v>-17</v>
      </c>
      <c r="G12" s="35" t="n">
        <f aca="false">'Echuca Games For'!G12-'Echuca Games Against'!G12</f>
        <v>17</v>
      </c>
      <c r="H12" s="35" t="n">
        <f aca="false">'Echuca Games For'!H12-'Echuca Games Against'!H12</f>
        <v>0</v>
      </c>
      <c r="I12" s="35" t="n">
        <f aca="false">'Echuca Games For'!I12-'Echuca Games Against'!I12</f>
        <v>8</v>
      </c>
      <c r="J12" s="35" t="n">
        <f aca="false">'Echuca Games For'!J12-'Echuca Games Against'!J12</f>
        <v>8</v>
      </c>
      <c r="K12" s="35" t="n">
        <f aca="false">'Echuca Games For'!K12-'Echuca Games Against'!K12</f>
        <v>0</v>
      </c>
      <c r="L12" s="35" t="n">
        <f aca="false">'Echuca Games For'!L12-'Echuca Games Against'!L12</f>
        <v>1</v>
      </c>
      <c r="M12" s="35" t="n">
        <f aca="false">'Echuca Games For'!M12-'Echuca Games Against'!M12</f>
        <v>-2</v>
      </c>
      <c r="N12" s="35" t="n">
        <f aca="false">'Echuca Games For'!N12-'Echuca Games Against'!N12</f>
        <v>-4</v>
      </c>
      <c r="O12" s="35" t="n">
        <f aca="false">'Echuca Games For'!O12-'Echuca Games Against'!O12</f>
        <v>-14</v>
      </c>
      <c r="P12" s="35" t="n">
        <f aca="false">'Echuca Games For'!P12-'Echuca Games Against'!P12</f>
        <v>-2</v>
      </c>
      <c r="Q12" s="35" t="n">
        <f aca="false">'Echuca Games For'!Q12-'Echuca Games Against'!Q12</f>
        <v>-12</v>
      </c>
      <c r="R12" s="35" t="n">
        <f aca="false">'Echuca Games For'!R12-'Echuca Games Against'!R12</f>
        <v>1</v>
      </c>
      <c r="S12" s="35" t="n">
        <f aca="false">'Echuca Games For'!S12-'Echuca Games Against'!S12</f>
        <v>1</v>
      </c>
      <c r="T12" s="35" t="n">
        <f aca="false">'Echuca Games For'!T12-'Echuca Games Against'!T12</f>
        <v>-54</v>
      </c>
      <c r="U12" s="35" t="n">
        <f aca="false">'Echuca Games For'!U12-'Echuca Games Against'!U12</f>
        <v>-39</v>
      </c>
      <c r="V12" s="35" t="n">
        <f aca="false">'Echuca Games For'!V12-'Echuca Games Against'!V12</f>
        <v>-11</v>
      </c>
      <c r="W12" s="35" t="n">
        <f aca="false">'Echuca Games For'!W12-'Echuca Games Against'!W12</f>
        <v>-4</v>
      </c>
      <c r="X12" s="35" t="n">
        <f aca="false">'Echuca Games For'!X12-'Echuca Games Against'!X12</f>
        <v>-6</v>
      </c>
      <c r="Y12" s="35" t="n">
        <f aca="false">'Echuca Games For'!Y12-'Echuca Games Against'!Y12</f>
        <v>-1</v>
      </c>
      <c r="Z12" s="35" t="n">
        <f aca="false">'Echuca Games For'!Z12-'Echuca Games Against'!Z12</f>
        <v>3</v>
      </c>
      <c r="AA12" s="35" t="n">
        <f aca="false">'Echuca Games For'!AA12-'Echuca Games Against'!AA12</f>
        <v>10</v>
      </c>
      <c r="AB12" s="35" t="n">
        <f aca="false">'Echuca Games For'!AB12-'Echuca Games Against'!AB12</f>
        <v>-8</v>
      </c>
      <c r="AC12" s="35" t="n">
        <f aca="false">'Echuca Games For'!AC12-'Echuca Games Against'!AC12</f>
        <v>-9</v>
      </c>
      <c r="AD12" s="35" t="n">
        <f aca="false">'Echuca Games For'!AD12-'Echuca Games Against'!AD12</f>
        <v>-4</v>
      </c>
      <c r="AE12" s="35" t="n">
        <f aca="false">'Echuca Games For'!AE12-'Echuca Games Against'!AE12</f>
        <v>2</v>
      </c>
      <c r="AF12" s="35" t="n">
        <f aca="false">'Echuca Games For'!AF12-'Echuca Games Against'!AF12</f>
        <v>-6</v>
      </c>
      <c r="AG12" s="35" t="n">
        <f aca="false">'Echuca Games For'!AG12-'Echuca Games Against'!AG12</f>
        <v>5</v>
      </c>
      <c r="AH12" s="35" t="n">
        <f aca="false">'Echuca Games For'!AH12-'Echuca Games Against'!AH12</f>
        <v>-14</v>
      </c>
      <c r="AI12" s="35" t="n">
        <f aca="false">'Echuca Games For'!AI12-'Echuca Games Against'!AI12</f>
        <v>3</v>
      </c>
      <c r="AJ12" s="35" t="n">
        <f aca="false">'Echuca Games For'!AJ12-'Echuca Games Against'!AJ12</f>
        <v>3</v>
      </c>
      <c r="AK12" s="35" t="n">
        <f aca="false">'Echuca Games For'!AK12-'Echuca Games Against'!AK12</f>
        <v>4</v>
      </c>
      <c r="AL12" s="35" t="n">
        <f aca="false">'Echuca Games For'!AL12-'Echuca Games Against'!AL12</f>
        <v>2</v>
      </c>
      <c r="AM12" s="35" t="n">
        <f aca="false">'Echuca Games For'!AM12-'Echuca Games Against'!AM12</f>
        <v>-6</v>
      </c>
      <c r="AN12" s="35" t="n">
        <f aca="false">'Echuca Games For'!AN12-'Echuca Games Against'!AN12</f>
        <v>12</v>
      </c>
      <c r="AO12" s="35" t="n">
        <f aca="false">'Echuca Games For'!AO12-'Echuca Games Against'!AO12</f>
        <v>2</v>
      </c>
      <c r="AP12" s="35" t="n">
        <f aca="false">'Echuca Games For'!AP12-'Echuca Games Against'!AP12</f>
        <v>3</v>
      </c>
      <c r="AQ12" s="35" t="n">
        <f aca="false">'Echuca Games For'!AQ12-'Echuca Games Against'!AQ12</f>
        <v>1</v>
      </c>
      <c r="AR12" s="35" t="n">
        <f aca="false">'Echuca Games For'!AR12-'Echuca Games Against'!AR12</f>
        <v>1</v>
      </c>
      <c r="AS12" s="35" t="n">
        <f aca="false">'Echuca Games For'!AS12-'Echuca Games Against'!AS12</f>
        <v>4</v>
      </c>
      <c r="AT12" s="35" t="n">
        <f aca="false">'Echuca Games For'!AT12-'Echuca Games Against'!AT12</f>
        <v>-2</v>
      </c>
      <c r="AU12" s="35" t="n">
        <f aca="false">'Echuca Games For'!AU12-'Echuca Games Against'!AU12</f>
        <v>1</v>
      </c>
      <c r="AV12" s="35" t="n">
        <f aca="false">'Echuca Games For'!AV12-'Echuca Games Against'!AV12</f>
        <v>5</v>
      </c>
      <c r="AW12" s="35" t="n">
        <f aca="false">'Echuca Games For'!AW12-'Echuca Games Against'!AW12</f>
        <v>-1</v>
      </c>
      <c r="AX12" s="35" t="n">
        <f aca="false">'Echuca Games For'!AX12-'Echuca Games Against'!AX12</f>
        <v>0</v>
      </c>
      <c r="AY12" s="35" t="n">
        <f aca="false">'Echuca Games For'!AY12-'Echuca Games Against'!AY12</f>
        <v>5</v>
      </c>
      <c r="AZ12" s="35" t="n">
        <f aca="false">'Echuca Games For'!AZ12-'Echuca Games Against'!AZ12</f>
        <v>-6</v>
      </c>
      <c r="BA12" s="35" t="n">
        <f aca="false">'Echuca Games For'!BA12-'Echuca Games Against'!BA12</f>
        <v>3</v>
      </c>
      <c r="BB12" s="35" t="n">
        <f aca="false">'Echuca Games For'!BB12-'Echuca Games Against'!BB12</f>
        <v>12</v>
      </c>
      <c r="BC12" s="35" t="n">
        <f aca="false">'Echuca Games For'!BC12-'Echuca Games Against'!BC12</f>
        <v>-1</v>
      </c>
      <c r="BD12" s="35" t="n">
        <f aca="false">'Echuca Games For'!BD12-'Echuca Games Against'!BD12</f>
        <v>5</v>
      </c>
      <c r="BE12" s="35" t="n">
        <f aca="false">'Echuca Games For'!BE12-'Echuca Games Against'!BE12</f>
        <v>-6</v>
      </c>
      <c r="BF12" s="35" t="n">
        <f aca="false">'Echuca Games For'!BF12-'Echuca Games Against'!BF12</f>
        <v>5</v>
      </c>
      <c r="BG12" s="35" t="n">
        <f aca="false">'Echuca Games For'!BG12-'Echuca Games Against'!BG12</f>
        <v>-1</v>
      </c>
      <c r="BH12" s="35" t="n">
        <f aca="false">'Echuca Games For'!BH12-'Echuca Games Against'!BH12</f>
        <v>-11</v>
      </c>
      <c r="BI12" s="35" t="n">
        <f aca="false">'Echuca Games For'!BI12-'Echuca Games Against'!BI12</f>
        <v>20</v>
      </c>
      <c r="BJ12" s="35" t="n">
        <f aca="false">'Echuca Games For'!BJ12-'Echuca Games Against'!BJ12</f>
        <v>9</v>
      </c>
      <c r="BK12" s="35" t="n">
        <f aca="false">'Echuca Games For'!BK12-'Echuca Games Against'!BK12</f>
        <v>-5</v>
      </c>
      <c r="BL12" s="35" t="n">
        <f aca="false">'Echuca Games For'!BL12-'Echuca Games Against'!BL12</f>
        <v>-3</v>
      </c>
    </row>
    <row r="13" customFormat="false" ht="15" hidden="false" customHeight="false" outlineLevel="0" collapsed="false">
      <c r="A13" s="12" t="str">
        <f aca="false">'Echuca Games For'!A13</f>
        <v>Euroa</v>
      </c>
      <c r="B13" s="34" t="n">
        <f aca="false">'Echuca Games For'!B13</f>
        <v>9</v>
      </c>
      <c r="C13" s="12" t="str">
        <f aca="false">'Echuca Games For'!C13</f>
        <v>Home &amp; away</v>
      </c>
      <c r="D13" s="12" t="str">
        <f aca="false">'Echuca Games For'!D13</f>
        <v>W</v>
      </c>
      <c r="E13" s="35" t="n">
        <f aca="false">'Echuca Games For'!E13-'Echuca Games Against'!E13</f>
        <v>138</v>
      </c>
      <c r="F13" s="35" t="n">
        <f aca="false">'Echuca Games For'!F13-'Echuca Games Against'!F13</f>
        <v>81</v>
      </c>
      <c r="G13" s="35" t="n">
        <f aca="false">'Echuca Games For'!G13-'Echuca Games Against'!G13</f>
        <v>57</v>
      </c>
      <c r="H13" s="35" t="n">
        <f aca="false">'Echuca Games For'!H13-'Echuca Games Against'!H13</f>
        <v>22</v>
      </c>
      <c r="I13" s="35" t="n">
        <f aca="false">'Echuca Games For'!I13-'Echuca Games Against'!I13</f>
        <v>30</v>
      </c>
      <c r="J13" s="35" t="n">
        <f aca="false">'Echuca Games For'!J13-'Echuca Games Against'!J13</f>
        <v>13</v>
      </c>
      <c r="K13" s="35" t="n">
        <f aca="false">'Echuca Games For'!K13-'Echuca Games Against'!K13</f>
        <v>17</v>
      </c>
      <c r="L13" s="35" t="n">
        <f aca="false">'Echuca Games For'!L13-'Echuca Games Against'!L13</f>
        <v>22</v>
      </c>
      <c r="M13" s="35" t="n">
        <f aca="false">'Echuca Games For'!M13-'Echuca Games Against'!M13</f>
        <v>21</v>
      </c>
      <c r="N13" s="35" t="n">
        <f aca="false">'Echuca Games For'!N13-'Echuca Games Against'!N13</f>
        <v>-1</v>
      </c>
      <c r="O13" s="35" t="n">
        <f aca="false">'Echuca Games For'!O13-'Echuca Games Against'!O13</f>
        <v>47</v>
      </c>
      <c r="P13" s="35" t="n">
        <f aca="false">'Echuca Games For'!P13-'Echuca Games Against'!P13</f>
        <v>5</v>
      </c>
      <c r="Q13" s="35" t="n">
        <f aca="false">'Echuca Games For'!Q13-'Echuca Games Against'!Q13</f>
        <v>42</v>
      </c>
      <c r="R13" s="35" t="n">
        <f aca="false">'Echuca Games For'!R13-'Echuca Games Against'!R13</f>
        <v>-5</v>
      </c>
      <c r="S13" s="35" t="n">
        <f aca="false">'Echuca Games For'!S13-'Echuca Games Against'!S13</f>
        <v>20</v>
      </c>
      <c r="T13" s="35" t="n">
        <f aca="false">'Echuca Games For'!T13-'Echuca Games Against'!T13</f>
        <v>721</v>
      </c>
      <c r="U13" s="35" t="n">
        <f aca="false">'Echuca Games For'!U13-'Echuca Games Against'!U13</f>
        <v>7</v>
      </c>
      <c r="V13" s="35" t="n">
        <f aca="false">'Echuca Games For'!V13-'Echuca Games Against'!V13</f>
        <v>3</v>
      </c>
      <c r="W13" s="35" t="n">
        <f aca="false">'Echuca Games For'!W13-'Echuca Games Against'!W13</f>
        <v>-3</v>
      </c>
      <c r="X13" s="35" t="n">
        <f aca="false">'Echuca Games For'!X13-'Echuca Games Against'!X13</f>
        <v>-8</v>
      </c>
      <c r="Y13" s="35" t="n">
        <f aca="false">'Echuca Games For'!Y13-'Echuca Games Against'!Y13</f>
        <v>-3</v>
      </c>
      <c r="Z13" s="35" t="n">
        <f aca="false">'Echuca Games For'!Z13-'Echuca Games Against'!Z13</f>
        <v>8</v>
      </c>
      <c r="AA13" s="35" t="n">
        <f aca="false">'Echuca Games For'!AA13-'Echuca Games Against'!AA13</f>
        <v>35</v>
      </c>
      <c r="AB13" s="35" t="n">
        <f aca="false">'Echuca Games For'!AB13-'Echuca Games Against'!AB13</f>
        <v>-25</v>
      </c>
      <c r="AC13" s="35" t="n">
        <f aca="false">'Echuca Games For'!AC13-'Echuca Games Against'!AC13</f>
        <v>-14</v>
      </c>
      <c r="AD13" s="35" t="n">
        <f aca="false">'Echuca Games For'!AD13-'Echuca Games Against'!AD13</f>
        <v>-14</v>
      </c>
      <c r="AE13" s="35" t="n">
        <f aca="false">'Echuca Games For'!AE13-'Echuca Games Against'!AE13</f>
        <v>13</v>
      </c>
      <c r="AF13" s="35" t="n">
        <f aca="false">'Echuca Games For'!AF13-'Echuca Games Against'!AF13</f>
        <v>-22</v>
      </c>
      <c r="AG13" s="35" t="n">
        <f aca="false">'Echuca Games For'!AG13-'Echuca Games Against'!AG13</f>
        <v>-5</v>
      </c>
      <c r="AH13" s="35" t="n">
        <f aca="false">'Echuca Games For'!AH13-'Echuca Games Against'!AH13</f>
        <v>-32</v>
      </c>
      <c r="AI13" s="35" t="n">
        <f aca="false">'Echuca Games For'!AI13-'Echuca Games Against'!AI13</f>
        <v>15</v>
      </c>
      <c r="AJ13" s="35" t="n">
        <f aca="false">'Echuca Games For'!AJ13-'Echuca Games Against'!AJ13</f>
        <v>-18</v>
      </c>
      <c r="AK13" s="35" t="n">
        <f aca="false">'Echuca Games For'!AK13-'Echuca Games Against'!AK13</f>
        <v>-24</v>
      </c>
      <c r="AL13" s="35" t="n">
        <f aca="false">'Echuca Games For'!AL13-'Echuca Games Against'!AL13</f>
        <v>-8</v>
      </c>
      <c r="AM13" s="35" t="n">
        <f aca="false">'Echuca Games For'!AM13-'Echuca Games Against'!AM13</f>
        <v>2</v>
      </c>
      <c r="AN13" s="35" t="n">
        <f aca="false">'Echuca Games For'!AN13-'Echuca Games Against'!AN13</f>
        <v>17</v>
      </c>
      <c r="AO13" s="35" t="n">
        <f aca="false">'Echuca Games For'!AO13-'Echuca Games Against'!AO13</f>
        <v>1</v>
      </c>
      <c r="AP13" s="35" t="n">
        <f aca="false">'Echuca Games For'!AP13-'Echuca Games Against'!AP13</f>
        <v>12</v>
      </c>
      <c r="AQ13" s="35" t="n">
        <f aca="false">'Echuca Games For'!AQ13-'Echuca Games Against'!AQ13</f>
        <v>19</v>
      </c>
      <c r="AR13" s="35" t="n">
        <f aca="false">'Echuca Games For'!AR13-'Echuca Games Against'!AR13</f>
        <v>9</v>
      </c>
      <c r="AS13" s="35" t="n">
        <f aca="false">'Echuca Games For'!AS13-'Echuca Games Against'!AS13</f>
        <v>10</v>
      </c>
      <c r="AT13" s="35" t="n">
        <f aca="false">'Echuca Games For'!AT13-'Echuca Games Against'!AT13</f>
        <v>-7</v>
      </c>
      <c r="AU13" s="35" t="n">
        <f aca="false">'Echuca Games For'!AU13-'Echuca Games Against'!AU13</f>
        <v>12</v>
      </c>
      <c r="AV13" s="35" t="n">
        <f aca="false">'Echuca Games For'!AV13-'Echuca Games Against'!AV13</f>
        <v>16</v>
      </c>
      <c r="AW13" s="35" t="n">
        <f aca="false">'Echuca Games For'!AW13-'Echuca Games Against'!AW13</f>
        <v>-3</v>
      </c>
      <c r="AX13" s="35" t="n">
        <f aca="false">'Echuca Games For'!AX13-'Echuca Games Against'!AX13</f>
        <v>21</v>
      </c>
      <c r="AY13" s="35" t="n">
        <f aca="false">'Echuca Games For'!AY13-'Echuca Games Against'!AY13</f>
        <v>25</v>
      </c>
      <c r="AZ13" s="35" t="n">
        <f aca="false">'Echuca Games For'!AZ13-'Echuca Games Against'!AZ13</f>
        <v>-9</v>
      </c>
      <c r="BA13" s="35" t="n">
        <f aca="false">'Echuca Games For'!BA13-'Echuca Games Against'!BA13</f>
        <v>14</v>
      </c>
      <c r="BB13" s="35" t="n">
        <f aca="false">'Echuca Games For'!BB13-'Echuca Games Against'!BB13</f>
        <v>28</v>
      </c>
      <c r="BC13" s="35" t="n">
        <f aca="false">'Echuca Games For'!BC13-'Echuca Games Against'!BC13</f>
        <v>12</v>
      </c>
      <c r="BD13" s="35" t="n">
        <f aca="false">'Echuca Games For'!BD13-'Echuca Games Against'!BD13</f>
        <v>17</v>
      </c>
      <c r="BE13" s="35" t="n">
        <f aca="false">'Echuca Games For'!BE13-'Echuca Games Against'!BE13</f>
        <v>5</v>
      </c>
      <c r="BF13" s="35" t="n">
        <f aca="false">'Echuca Games For'!BF13-'Echuca Games Against'!BF13</f>
        <v>13</v>
      </c>
      <c r="BG13" s="35" t="n">
        <f aca="false">'Echuca Games For'!BG13-'Echuca Games Against'!BG13</f>
        <v>8</v>
      </c>
      <c r="BH13" s="35" t="n">
        <f aca="false">'Echuca Games For'!BH13-'Echuca Games Against'!BH13</f>
        <v>74</v>
      </c>
      <c r="BI13" s="35" t="n">
        <f aca="false">'Echuca Games For'!BI13-'Echuca Games Against'!BI13</f>
        <v>69</v>
      </c>
      <c r="BJ13" s="35" t="n">
        <f aca="false">'Echuca Games For'!BJ13-'Echuca Games Against'!BJ13</f>
        <v>143</v>
      </c>
      <c r="BK13" s="35" t="n">
        <f aca="false">'Echuca Games For'!BK13-'Echuca Games Against'!BK13</f>
        <v>0</v>
      </c>
      <c r="BL13" s="35" t="n">
        <f aca="false">'Echuca Games For'!BL13-'Echuca Games Against'!BL13</f>
        <v>-9</v>
      </c>
    </row>
    <row r="14" customFormat="false" ht="15" hidden="false" customHeight="false" outlineLevel="0" collapsed="false">
      <c r="A14" s="12" t="str">
        <f aca="false">'Echuca Games For'!A14</f>
        <v>Shepparton Swans</v>
      </c>
      <c r="B14" s="34" t="n">
        <f aca="false">'Echuca Games For'!B14</f>
        <v>10</v>
      </c>
      <c r="C14" s="12" t="str">
        <f aca="false">'Echuca Games For'!C14</f>
        <v>Home &amp; away</v>
      </c>
      <c r="D14" s="12" t="str">
        <f aca="false">'Echuca Games For'!D14</f>
        <v>W</v>
      </c>
      <c r="E14" s="35" t="n">
        <f aca="false">'Echuca Games For'!E14-'Echuca Games Against'!E14</f>
        <v>104</v>
      </c>
      <c r="F14" s="35" t="n">
        <f aca="false">'Echuca Games For'!F14-'Echuca Games Against'!F14</f>
        <v>58</v>
      </c>
      <c r="G14" s="35" t="n">
        <f aca="false">'Echuca Games For'!G14-'Echuca Games Against'!G14</f>
        <v>46</v>
      </c>
      <c r="H14" s="35" t="n">
        <f aca="false">'Echuca Games For'!H14-'Echuca Games Against'!H14</f>
        <v>38</v>
      </c>
      <c r="I14" s="35" t="n">
        <f aca="false">'Echuca Games For'!I14-'Echuca Games Against'!I14</f>
        <v>23</v>
      </c>
      <c r="J14" s="35" t="n">
        <f aca="false">'Echuca Games For'!J14-'Echuca Games Against'!J14</f>
        <v>-4</v>
      </c>
      <c r="K14" s="35" t="n">
        <f aca="false">'Echuca Games For'!K14-'Echuca Games Against'!K14</f>
        <v>27</v>
      </c>
      <c r="L14" s="35" t="n">
        <f aca="false">'Echuca Games For'!L14-'Echuca Games Against'!L14</f>
        <v>-3</v>
      </c>
      <c r="M14" s="35" t="n">
        <f aca="false">'Echuca Games For'!M14-'Echuca Games Against'!M14</f>
        <v>-9</v>
      </c>
      <c r="N14" s="35" t="n">
        <f aca="false">'Echuca Games For'!N14-'Echuca Games Against'!N14</f>
        <v>5</v>
      </c>
      <c r="O14" s="35" t="n">
        <f aca="false">'Echuca Games For'!O14-'Echuca Games Against'!O14</f>
        <v>59</v>
      </c>
      <c r="P14" s="35" t="n">
        <f aca="false">'Echuca Games For'!P14-'Echuca Games Against'!P14</f>
        <v>24</v>
      </c>
      <c r="Q14" s="35" t="n">
        <f aca="false">'Echuca Games For'!Q14-'Echuca Games Against'!Q14</f>
        <v>35</v>
      </c>
      <c r="R14" s="35" t="n">
        <f aca="false">'Echuca Games For'!R14-'Echuca Games Against'!R14</f>
        <v>12</v>
      </c>
      <c r="S14" s="35" t="n">
        <f aca="false">'Echuca Games For'!S14-'Echuca Games Against'!S14</f>
        <v>21</v>
      </c>
      <c r="T14" s="35" t="n">
        <f aca="false">'Echuca Games For'!T14-'Echuca Games Against'!T14</f>
        <v>607</v>
      </c>
      <c r="U14" s="35" t="n">
        <f aca="false">'Echuca Games For'!U14-'Echuca Games Against'!U14</f>
        <v>29</v>
      </c>
      <c r="V14" s="35" t="n">
        <f aca="false">'Echuca Games For'!V14-'Echuca Games Against'!V14</f>
        <v>4</v>
      </c>
      <c r="W14" s="35" t="n">
        <f aca="false">'Echuca Games For'!W14-'Echuca Games Against'!W14</f>
        <v>4</v>
      </c>
      <c r="X14" s="35" t="n">
        <f aca="false">'Echuca Games For'!X14-'Echuca Games Against'!X14</f>
        <v>2</v>
      </c>
      <c r="Y14" s="35" t="n">
        <f aca="false">'Echuca Games For'!Y14-'Echuca Games Against'!Y14</f>
        <v>2</v>
      </c>
      <c r="Z14" s="35" t="n">
        <f aca="false">'Echuca Games For'!Z14-'Echuca Games Against'!Z14</f>
        <v>0</v>
      </c>
      <c r="AA14" s="35" t="n">
        <f aca="false">'Echuca Games For'!AA14-'Echuca Games Against'!AA14</f>
        <v>25</v>
      </c>
      <c r="AB14" s="35" t="n">
        <f aca="false">'Echuca Games For'!AB14-'Echuca Games Against'!AB14</f>
        <v>-13</v>
      </c>
      <c r="AC14" s="35" t="n">
        <f aca="false">'Echuca Games For'!AC14-'Echuca Games Against'!AC14</f>
        <v>-13</v>
      </c>
      <c r="AD14" s="35" t="n">
        <f aca="false">'Echuca Games For'!AD14-'Echuca Games Against'!AD14</f>
        <v>-2</v>
      </c>
      <c r="AE14" s="35" t="n">
        <f aca="false">'Echuca Games For'!AE14-'Echuca Games Against'!AE14</f>
        <v>-2</v>
      </c>
      <c r="AF14" s="35" t="n">
        <f aca="false">'Echuca Games For'!AF14-'Echuca Games Against'!AF14</f>
        <v>0</v>
      </c>
      <c r="AG14" s="35" t="n">
        <f aca="false">'Echuca Games For'!AG14-'Echuca Games Against'!AG14</f>
        <v>-2</v>
      </c>
      <c r="AH14" s="35" t="n">
        <f aca="false">'Echuca Games For'!AH14-'Echuca Games Against'!AH14</f>
        <v>-14</v>
      </c>
      <c r="AI14" s="35" t="n">
        <f aca="false">'Echuca Games For'!AI14-'Echuca Games Against'!AI14</f>
        <v>16</v>
      </c>
      <c r="AJ14" s="35" t="n">
        <f aca="false">'Echuca Games For'!AJ14-'Echuca Games Against'!AJ14</f>
        <v>-5</v>
      </c>
      <c r="AK14" s="35" t="n">
        <f aca="false">'Echuca Games For'!AK14-'Echuca Games Against'!AK14</f>
        <v>-17</v>
      </c>
      <c r="AL14" s="35" t="n">
        <f aca="false">'Echuca Games For'!AL14-'Echuca Games Against'!AL14</f>
        <v>4</v>
      </c>
      <c r="AM14" s="35" t="n">
        <f aca="false">'Echuca Games For'!AM14-'Echuca Games Against'!AM14</f>
        <v>6</v>
      </c>
      <c r="AN14" s="35" t="n">
        <f aca="false">'Echuca Games For'!AN14-'Echuca Games Against'!AN14</f>
        <v>-6</v>
      </c>
      <c r="AO14" s="35" t="n">
        <f aca="false">'Echuca Games For'!AO14-'Echuca Games Against'!AO14</f>
        <v>-3</v>
      </c>
      <c r="AP14" s="35" t="n">
        <f aca="false">'Echuca Games For'!AP14-'Echuca Games Against'!AP14</f>
        <v>2</v>
      </c>
      <c r="AQ14" s="35" t="n">
        <f aca="false">'Echuca Games For'!AQ14-'Echuca Games Against'!AQ14</f>
        <v>8</v>
      </c>
      <c r="AR14" s="35" t="n">
        <f aca="false">'Echuca Games For'!AR14-'Echuca Games Against'!AR14</f>
        <v>0</v>
      </c>
      <c r="AS14" s="35" t="n">
        <f aca="false">'Echuca Games For'!AS14-'Echuca Games Against'!AS14</f>
        <v>6</v>
      </c>
      <c r="AT14" s="35" t="n">
        <f aca="false">'Echuca Games For'!AT14-'Echuca Games Against'!AT14</f>
        <v>-4</v>
      </c>
      <c r="AU14" s="35" t="n">
        <f aca="false">'Echuca Games For'!AU14-'Echuca Games Against'!AU14</f>
        <v>12</v>
      </c>
      <c r="AV14" s="35" t="n">
        <f aca="false">'Echuca Games For'!AV14-'Echuca Games Against'!AV14</f>
        <v>2</v>
      </c>
      <c r="AW14" s="35" t="n">
        <f aca="false">'Echuca Games For'!AW14-'Echuca Games Against'!AW14</f>
        <v>0</v>
      </c>
      <c r="AX14" s="35" t="n">
        <f aca="false">'Echuca Games For'!AX14-'Echuca Games Against'!AX14</f>
        <v>5</v>
      </c>
      <c r="AY14" s="35" t="n">
        <f aca="false">'Echuca Games For'!AY14-'Echuca Games Against'!AY14</f>
        <v>14</v>
      </c>
      <c r="AZ14" s="35" t="n">
        <f aca="false">'Echuca Games For'!AZ14-'Echuca Games Against'!AZ14</f>
        <v>19</v>
      </c>
      <c r="BA14" s="35" t="n">
        <f aca="false">'Echuca Games For'!BA14-'Echuca Games Against'!BA14</f>
        <v>12</v>
      </c>
      <c r="BB14" s="35" t="n">
        <f aca="false">'Echuca Games For'!BB14-'Echuca Games Against'!BB14</f>
        <v>16</v>
      </c>
      <c r="BC14" s="35" t="n">
        <f aca="false">'Echuca Games For'!BC14-'Echuca Games Against'!BC14</f>
        <v>12</v>
      </c>
      <c r="BD14" s="35" t="n">
        <f aca="false">'Echuca Games For'!BD14-'Echuca Games Against'!BD14</f>
        <v>13</v>
      </c>
      <c r="BE14" s="35" t="n">
        <f aca="false">'Echuca Games For'!BE14-'Echuca Games Against'!BE14</f>
        <v>-3</v>
      </c>
      <c r="BF14" s="35" t="n">
        <f aca="false">'Echuca Games For'!BF14-'Echuca Games Against'!BF14</f>
        <v>-16</v>
      </c>
      <c r="BG14" s="35" t="n">
        <f aca="false">'Echuca Games For'!BG14-'Echuca Games Against'!BG14</f>
        <v>8</v>
      </c>
      <c r="BH14" s="35" t="n">
        <f aca="false">'Echuca Games For'!BH14-'Echuca Games Against'!BH14</f>
        <v>66</v>
      </c>
      <c r="BI14" s="35" t="n">
        <f aca="false">'Echuca Games For'!BI14-'Echuca Games Against'!BI14</f>
        <v>57</v>
      </c>
      <c r="BJ14" s="35" t="n">
        <f aca="false">'Echuca Games For'!BJ14-'Echuca Games Against'!BJ14</f>
        <v>123</v>
      </c>
      <c r="BK14" s="35" t="n">
        <f aca="false">'Echuca Games For'!BK14-'Echuca Games Against'!BK14</f>
        <v>1</v>
      </c>
      <c r="BL14" s="35" t="n">
        <f aca="false">'Echuca Games For'!BL14-'Echuca Games Against'!BL14</f>
        <v>-14</v>
      </c>
    </row>
    <row r="15" customFormat="false" ht="15" hidden="false" customHeight="false" outlineLevel="0" collapsed="false">
      <c r="A15" s="12" t="str">
        <f aca="false">'Echuca Games For'!A15</f>
        <v>Mansfield</v>
      </c>
      <c r="B15" s="34" t="n">
        <f aca="false">'Echuca Games For'!B15</f>
        <v>11</v>
      </c>
      <c r="C15" s="12" t="str">
        <f aca="false">'Echuca Games For'!C15</f>
        <v>Home &amp; away</v>
      </c>
      <c r="D15" s="12" t="str">
        <f aca="false">'Echuca Games For'!D15</f>
        <v>W</v>
      </c>
      <c r="E15" s="35" t="n">
        <f aca="false">'Echuca Games For'!E15-'Echuca Games Against'!E15</f>
        <v>72</v>
      </c>
      <c r="F15" s="35" t="n">
        <f aca="false">'Echuca Games For'!F15-'Echuca Games Against'!F15</f>
        <v>40</v>
      </c>
      <c r="G15" s="35" t="n">
        <f aca="false">'Echuca Games For'!G15-'Echuca Games Against'!G15</f>
        <v>32</v>
      </c>
      <c r="H15" s="35" t="n">
        <f aca="false">'Echuca Games For'!H15-'Echuca Games Against'!H15</f>
        <v>21</v>
      </c>
      <c r="I15" s="35" t="n">
        <f aca="false">'Echuca Games For'!I15-'Echuca Games Against'!I15</f>
        <v>23</v>
      </c>
      <c r="J15" s="35" t="n">
        <f aca="false">'Echuca Games For'!J15-'Echuca Games Against'!J15</f>
        <v>12</v>
      </c>
      <c r="K15" s="35" t="n">
        <f aca="false">'Echuca Games For'!K15-'Echuca Games Against'!K15</f>
        <v>11</v>
      </c>
      <c r="L15" s="35" t="n">
        <f aca="false">'Echuca Games For'!L15-'Echuca Games Against'!L15</f>
        <v>0</v>
      </c>
      <c r="M15" s="35" t="n">
        <f aca="false">'Echuca Games For'!M15-'Echuca Games Against'!M15</f>
        <v>16</v>
      </c>
      <c r="N15" s="35" t="n">
        <f aca="false">'Echuca Games For'!N15-'Echuca Games Against'!N15</f>
        <v>6</v>
      </c>
      <c r="O15" s="35" t="n">
        <f aca="false">'Echuca Games For'!O15-'Echuca Games Against'!O15</f>
        <v>37</v>
      </c>
      <c r="P15" s="35" t="n">
        <f aca="false">'Echuca Games For'!P15-'Echuca Games Against'!P15</f>
        <v>-3</v>
      </c>
      <c r="Q15" s="35" t="n">
        <f aca="false">'Echuca Games For'!Q15-'Echuca Games Against'!Q15</f>
        <v>40</v>
      </c>
      <c r="R15" s="35" t="n">
        <f aca="false">'Echuca Games For'!R15-'Echuca Games Against'!R15</f>
        <v>-3</v>
      </c>
      <c r="S15" s="35" t="n">
        <f aca="false">'Echuca Games For'!S15-'Echuca Games Against'!S15</f>
        <v>3</v>
      </c>
      <c r="T15" s="35" t="n">
        <f aca="false">'Echuca Games For'!T15-'Echuca Games Against'!T15</f>
        <v>280</v>
      </c>
      <c r="U15" s="35" t="n">
        <f aca="false">'Echuca Games For'!U15-'Echuca Games Against'!U15</f>
        <v>-32</v>
      </c>
      <c r="V15" s="35" t="n">
        <f aca="false">'Echuca Games For'!V15-'Echuca Games Against'!V15</f>
        <v>-8</v>
      </c>
      <c r="W15" s="35" t="n">
        <f aca="false">'Echuca Games For'!W15-'Echuca Games Against'!W15</f>
        <v>-3</v>
      </c>
      <c r="X15" s="35" t="n">
        <f aca="false">'Echuca Games For'!X15-'Echuca Games Against'!X15</f>
        <v>-9</v>
      </c>
      <c r="Y15" s="35" t="n">
        <f aca="false">'Echuca Games For'!Y15-'Echuca Games Against'!Y15</f>
        <v>0</v>
      </c>
      <c r="Z15" s="35" t="n">
        <f aca="false">'Echuca Games For'!Z15-'Echuca Games Against'!Z15</f>
        <v>6</v>
      </c>
      <c r="AA15" s="35" t="n">
        <f aca="false">'Echuca Games For'!AA15-'Echuca Games Against'!AA15</f>
        <v>2</v>
      </c>
      <c r="AB15" s="35" t="n">
        <f aca="false">'Echuca Games For'!AB15-'Echuca Games Against'!AB15</f>
        <v>4</v>
      </c>
      <c r="AC15" s="35" t="n">
        <f aca="false">'Echuca Games For'!AC15-'Echuca Games Against'!AC15</f>
        <v>-10</v>
      </c>
      <c r="AD15" s="35" t="n">
        <f aca="false">'Echuca Games For'!AD15-'Echuca Games Against'!AD15</f>
        <v>-10</v>
      </c>
      <c r="AE15" s="35" t="n">
        <f aca="false">'Echuca Games For'!AE15-'Echuca Games Against'!AE15</f>
        <v>6</v>
      </c>
      <c r="AF15" s="35" t="n">
        <f aca="false">'Echuca Games For'!AF15-'Echuca Games Against'!AF15</f>
        <v>-4</v>
      </c>
      <c r="AG15" s="35" t="n">
        <f aca="false">'Echuca Games For'!AG15-'Echuca Games Against'!AG15</f>
        <v>-3</v>
      </c>
      <c r="AH15" s="35" t="n">
        <f aca="false">'Echuca Games For'!AH15-'Echuca Games Against'!AH15</f>
        <v>2</v>
      </c>
      <c r="AI15" s="35" t="n">
        <f aca="false">'Echuca Games For'!AI15-'Echuca Games Against'!AI15</f>
        <v>-3</v>
      </c>
      <c r="AJ15" s="35" t="n">
        <f aca="false">'Echuca Games For'!AJ15-'Echuca Games Against'!AJ15</f>
        <v>1</v>
      </c>
      <c r="AK15" s="35" t="n">
        <f aca="false">'Echuca Games For'!AK15-'Echuca Games Against'!AK15</f>
        <v>10</v>
      </c>
      <c r="AL15" s="35" t="n">
        <f aca="false">'Echuca Games For'!AL15-'Echuca Games Against'!AL15</f>
        <v>0</v>
      </c>
      <c r="AM15" s="35" t="n">
        <f aca="false">'Echuca Games For'!AM15-'Echuca Games Against'!AM15</f>
        <v>0</v>
      </c>
      <c r="AN15" s="35" t="n">
        <f aca="false">'Echuca Games For'!AN15-'Echuca Games Against'!AN15</f>
        <v>4</v>
      </c>
      <c r="AO15" s="35" t="n">
        <f aca="false">'Echuca Games For'!AO15-'Echuca Games Against'!AO15</f>
        <v>1</v>
      </c>
      <c r="AP15" s="35" t="n">
        <f aca="false">'Echuca Games For'!AP15-'Echuca Games Against'!AP15</f>
        <v>-9</v>
      </c>
      <c r="AQ15" s="35" t="n">
        <f aca="false">'Echuca Games For'!AQ15-'Echuca Games Against'!AQ15</f>
        <v>-5</v>
      </c>
      <c r="AR15" s="35" t="n">
        <f aca="false">'Echuca Games For'!AR15-'Echuca Games Against'!AR15</f>
        <v>-3</v>
      </c>
      <c r="AS15" s="35" t="n">
        <f aca="false">'Echuca Games For'!AS15-'Echuca Games Against'!AS15</f>
        <v>-1</v>
      </c>
      <c r="AT15" s="35" t="n">
        <f aca="false">'Echuca Games For'!AT15-'Echuca Games Against'!AT15</f>
        <v>-5</v>
      </c>
      <c r="AU15" s="35" t="n">
        <f aca="false">'Echuca Games For'!AU15-'Echuca Games Against'!AU15</f>
        <v>2</v>
      </c>
      <c r="AV15" s="35" t="n">
        <f aca="false">'Echuca Games For'!AV15-'Echuca Games Against'!AV15</f>
        <v>10</v>
      </c>
      <c r="AW15" s="35" t="n">
        <f aca="false">'Echuca Games For'!AW15-'Echuca Games Against'!AW15</f>
        <v>0</v>
      </c>
      <c r="AX15" s="35" t="n">
        <f aca="false">'Echuca Games For'!AX15-'Echuca Games Against'!AX15</f>
        <v>21</v>
      </c>
      <c r="AY15" s="35" t="n">
        <f aca="false">'Echuca Games For'!AY15-'Echuca Games Against'!AY15</f>
        <v>12</v>
      </c>
      <c r="AZ15" s="35" t="n">
        <f aca="false">'Echuca Games For'!AZ15-'Echuca Games Against'!AZ15</f>
        <v>-11</v>
      </c>
      <c r="BA15" s="35" t="n">
        <f aca="false">'Echuca Games For'!BA15-'Echuca Games Against'!BA15</f>
        <v>10</v>
      </c>
      <c r="BB15" s="35" t="n">
        <f aca="false">'Echuca Games For'!BB15-'Echuca Games Against'!BB15</f>
        <v>18</v>
      </c>
      <c r="BC15" s="35" t="n">
        <f aca="false">'Echuca Games For'!BC15-'Echuca Games Against'!BC15</f>
        <v>15</v>
      </c>
      <c r="BD15" s="35" t="n">
        <f aca="false">'Echuca Games For'!BD15-'Echuca Games Against'!BD15</f>
        <v>2</v>
      </c>
      <c r="BE15" s="35" t="n">
        <f aca="false">'Echuca Games For'!BE15-'Echuca Games Against'!BE15</f>
        <v>-2</v>
      </c>
      <c r="BF15" s="35" t="n">
        <f aca="false">'Echuca Games For'!BF15-'Echuca Games Against'!BF15</f>
        <v>7</v>
      </c>
      <c r="BG15" s="35" t="n">
        <f aca="false">'Echuca Games For'!BG15-'Echuca Games Against'!BG15</f>
        <v>-25</v>
      </c>
      <c r="BH15" s="35" t="n">
        <f aca="false">'Echuca Games For'!BH15-'Echuca Games Against'!BH15</f>
        <v>52</v>
      </c>
      <c r="BI15" s="35" t="n">
        <f aca="false">'Echuca Games For'!BI15-'Echuca Games Against'!BI15</f>
        <v>26</v>
      </c>
      <c r="BJ15" s="35" t="n">
        <f aca="false">'Echuca Games For'!BJ15-'Echuca Games Against'!BJ15</f>
        <v>78</v>
      </c>
      <c r="BK15" s="35" t="n">
        <f aca="false">'Echuca Games For'!BK15-'Echuca Games Against'!BK15</f>
        <v>-3</v>
      </c>
      <c r="BL15" s="35" t="n">
        <f aca="false">'Echuca Games For'!BL15-'Echuca Games Against'!BL15</f>
        <v>5</v>
      </c>
    </row>
    <row r="16" customFormat="false" ht="15" hidden="false" customHeight="false" outlineLevel="0" collapsed="false">
      <c r="A16" s="12" t="str">
        <f aca="false">'Echuca Games For'!A16</f>
        <v>Benalla</v>
      </c>
      <c r="B16" s="34" t="n">
        <f aca="false">'Echuca Games For'!B16</f>
        <v>12</v>
      </c>
      <c r="C16" s="12" t="str">
        <f aca="false">'Echuca Games For'!C16</f>
        <v>Home &amp; away</v>
      </c>
      <c r="D16" s="12" t="str">
        <f aca="false">'Echuca Games For'!D16</f>
        <v>W</v>
      </c>
      <c r="E16" s="35" t="n">
        <f aca="false">'Echuca Games For'!E16-'Echuca Games Against'!E16</f>
        <v>15</v>
      </c>
      <c r="F16" s="35" t="n">
        <f aca="false">'Echuca Games For'!F16-'Echuca Games Against'!F16</f>
        <v>-9</v>
      </c>
      <c r="G16" s="35" t="n">
        <f aca="false">'Echuca Games For'!G16-'Echuca Games Against'!G16</f>
        <v>24</v>
      </c>
      <c r="H16" s="35" t="n">
        <f aca="false">'Echuca Games For'!H16-'Echuca Games Against'!H16</f>
        <v>1</v>
      </c>
      <c r="I16" s="35" t="n">
        <f aca="false">'Echuca Games For'!I16-'Echuca Games Against'!I16</f>
        <v>8</v>
      </c>
      <c r="J16" s="35" t="n">
        <f aca="false">'Echuca Games For'!J16-'Echuca Games Against'!J16</f>
        <v>4</v>
      </c>
      <c r="K16" s="35" t="n">
        <f aca="false">'Echuca Games For'!K16-'Echuca Games Against'!K16</f>
        <v>4</v>
      </c>
      <c r="L16" s="35" t="n">
        <f aca="false">'Echuca Games For'!L16-'Echuca Games Against'!L16</f>
        <v>-2</v>
      </c>
      <c r="M16" s="35" t="n">
        <f aca="false">'Echuca Games For'!M16-'Echuca Games Against'!M16</f>
        <v>7</v>
      </c>
      <c r="N16" s="35" t="n">
        <f aca="false">'Echuca Games For'!N16-'Echuca Games Against'!N16</f>
        <v>7</v>
      </c>
      <c r="O16" s="35" t="n">
        <f aca="false">'Echuca Games For'!O16-'Echuca Games Against'!O16</f>
        <v>-34</v>
      </c>
      <c r="P16" s="35" t="n">
        <f aca="false">'Echuca Games For'!P16-'Echuca Games Against'!P16</f>
        <v>-7</v>
      </c>
      <c r="Q16" s="35" t="n">
        <f aca="false">'Echuca Games For'!Q16-'Echuca Games Against'!Q16</f>
        <v>-27</v>
      </c>
      <c r="R16" s="35" t="n">
        <f aca="false">'Echuca Games For'!R16-'Echuca Games Against'!R16</f>
        <v>-14</v>
      </c>
      <c r="S16" s="35" t="n">
        <f aca="false">'Echuca Games For'!S16-'Echuca Games Against'!S16</f>
        <v>1</v>
      </c>
      <c r="T16" s="35" t="n">
        <f aca="false">'Echuca Games For'!T16-'Echuca Games Against'!T16</f>
        <v>-63</v>
      </c>
      <c r="U16" s="35" t="n">
        <f aca="false">'Echuca Games For'!U16-'Echuca Games Against'!U16</f>
        <v>-28</v>
      </c>
      <c r="V16" s="35" t="n">
        <f aca="false">'Echuca Games For'!V16-'Echuca Games Against'!V16</f>
        <v>-3</v>
      </c>
      <c r="W16" s="35" t="n">
        <f aca="false">'Echuca Games For'!W16-'Echuca Games Against'!W16</f>
        <v>1</v>
      </c>
      <c r="X16" s="35" t="n">
        <f aca="false">'Echuca Games For'!X16-'Echuca Games Against'!X16</f>
        <v>-1</v>
      </c>
      <c r="Y16" s="35" t="n">
        <f aca="false">'Echuca Games For'!Y16-'Echuca Games Against'!Y16</f>
        <v>5</v>
      </c>
      <c r="Z16" s="35" t="n">
        <f aca="false">'Echuca Games For'!Z16-'Echuca Games Against'!Z16</f>
        <v>-3</v>
      </c>
      <c r="AA16" s="35" t="n">
        <f aca="false">'Echuca Games For'!AA16-'Echuca Games Against'!AA16</f>
        <v>18</v>
      </c>
      <c r="AB16" s="35" t="n">
        <f aca="false">'Echuca Games For'!AB16-'Echuca Games Against'!AB16</f>
        <v>-15</v>
      </c>
      <c r="AC16" s="35" t="n">
        <f aca="false">'Echuca Games For'!AC16-'Echuca Games Against'!AC16</f>
        <v>-5</v>
      </c>
      <c r="AD16" s="35" t="n">
        <f aca="false">'Echuca Games For'!AD16-'Echuca Games Against'!AD16</f>
        <v>1</v>
      </c>
      <c r="AE16" s="35" t="n">
        <f aca="false">'Echuca Games For'!AE16-'Echuca Games Against'!AE16</f>
        <v>2</v>
      </c>
      <c r="AF16" s="35" t="n">
        <f aca="false">'Echuca Games For'!AF16-'Echuca Games Against'!AF16</f>
        <v>1</v>
      </c>
      <c r="AG16" s="35" t="n">
        <f aca="false">'Echuca Games For'!AG16-'Echuca Games Against'!AG16</f>
        <v>-1</v>
      </c>
      <c r="AH16" s="35" t="n">
        <f aca="false">'Echuca Games For'!AH16-'Echuca Games Against'!AH16</f>
        <v>-10</v>
      </c>
      <c r="AI16" s="35" t="n">
        <f aca="false">'Echuca Games For'!AI16-'Echuca Games Against'!AI16</f>
        <v>12</v>
      </c>
      <c r="AJ16" s="35" t="n">
        <f aca="false">'Echuca Games For'!AJ16-'Echuca Games Against'!AJ16</f>
        <v>18</v>
      </c>
      <c r="AK16" s="35" t="n">
        <f aca="false">'Echuca Games For'!AK16-'Echuca Games Against'!AK16</f>
        <v>0</v>
      </c>
      <c r="AL16" s="35" t="n">
        <f aca="false">'Echuca Games For'!AL16-'Echuca Games Against'!AL16</f>
        <v>0</v>
      </c>
      <c r="AM16" s="35" t="n">
        <f aca="false">'Echuca Games For'!AM16-'Echuca Games Against'!AM16</f>
        <v>0</v>
      </c>
      <c r="AN16" s="35" t="n">
        <f aca="false">'Echuca Games For'!AN16-'Echuca Games Against'!AN16</f>
        <v>4</v>
      </c>
      <c r="AO16" s="35" t="n">
        <f aca="false">'Echuca Games For'!AO16-'Echuca Games Against'!AO16</f>
        <v>1</v>
      </c>
      <c r="AP16" s="35" t="n">
        <f aca="false">'Echuca Games For'!AP16-'Echuca Games Against'!AP16</f>
        <v>18</v>
      </c>
      <c r="AQ16" s="35" t="n">
        <f aca="false">'Echuca Games For'!AQ16-'Echuca Games Against'!AQ16</f>
        <v>14</v>
      </c>
      <c r="AR16" s="35" t="n">
        <f aca="false">'Echuca Games For'!AR16-'Echuca Games Against'!AR16</f>
        <v>4</v>
      </c>
      <c r="AS16" s="35" t="n">
        <f aca="false">'Echuca Games For'!AS16-'Echuca Games Against'!AS16</f>
        <v>9</v>
      </c>
      <c r="AT16" s="35" t="n">
        <f aca="false">'Echuca Games For'!AT16-'Echuca Games Against'!AT16</f>
        <v>5</v>
      </c>
      <c r="AU16" s="35" t="n">
        <f aca="false">'Echuca Games For'!AU16-'Echuca Games Against'!AU16</f>
        <v>2</v>
      </c>
      <c r="AV16" s="35" t="n">
        <f aca="false">'Echuca Games For'!AV16-'Echuca Games Against'!AV16</f>
        <v>3</v>
      </c>
      <c r="AW16" s="35" t="n">
        <f aca="false">'Echuca Games For'!AW16-'Echuca Games Against'!AW16</f>
        <v>-4</v>
      </c>
      <c r="AX16" s="35" t="n">
        <f aca="false">'Echuca Games For'!AX16-'Echuca Games Against'!AX16</f>
        <v>-15</v>
      </c>
      <c r="AY16" s="35" t="n">
        <f aca="false">'Echuca Games For'!AY16-'Echuca Games Against'!AY16</f>
        <v>1</v>
      </c>
      <c r="AZ16" s="35" t="n">
        <f aca="false">'Echuca Games For'!AZ16-'Echuca Games Against'!AZ16</f>
        <v>8</v>
      </c>
      <c r="BA16" s="35" t="n">
        <f aca="false">'Echuca Games For'!BA16-'Echuca Games Against'!BA16</f>
        <v>2</v>
      </c>
      <c r="BB16" s="35" t="n">
        <f aca="false">'Echuca Games For'!BB16-'Echuca Games Against'!BB16</f>
        <v>-4</v>
      </c>
      <c r="BC16" s="35" t="n">
        <f aca="false">'Echuca Games For'!BC16-'Echuca Games Against'!BC16</f>
        <v>-4</v>
      </c>
      <c r="BD16" s="35" t="n">
        <f aca="false">'Echuca Games For'!BD16-'Echuca Games Against'!BD16</f>
        <v>9</v>
      </c>
      <c r="BE16" s="35" t="n">
        <f aca="false">'Echuca Games For'!BE16-'Echuca Games Against'!BE16</f>
        <v>-7</v>
      </c>
      <c r="BF16" s="35" t="n">
        <f aca="false">'Echuca Games For'!BF16-'Echuca Games Against'!BF16</f>
        <v>8</v>
      </c>
      <c r="BG16" s="35" t="n">
        <f aca="false">'Echuca Games For'!BG16-'Echuca Games Against'!BG16</f>
        <v>11</v>
      </c>
      <c r="BH16" s="35" t="n">
        <f aca="false">'Echuca Games For'!BH16-'Echuca Games Against'!BH16</f>
        <v>-15</v>
      </c>
      <c r="BI16" s="35" t="n">
        <f aca="false">'Echuca Games For'!BI16-'Echuca Games Against'!BI16</f>
        <v>30</v>
      </c>
      <c r="BJ16" s="35" t="n">
        <f aca="false">'Echuca Games For'!BJ16-'Echuca Games Against'!BJ16</f>
        <v>15</v>
      </c>
      <c r="BK16" s="35" t="n">
        <f aca="false">'Echuca Games For'!BK16-'Echuca Games Against'!BK16</f>
        <v>-2</v>
      </c>
      <c r="BL16" s="35" t="n">
        <f aca="false">'Echuca Games For'!BL16-'Echuca Games Against'!BL16</f>
        <v>-8</v>
      </c>
    </row>
    <row r="17" customFormat="false" ht="15" hidden="false" customHeight="false" outlineLevel="0" collapsed="false">
      <c r="A17" s="12" t="str">
        <f aca="false">'Echuca Games For'!A17</f>
        <v>Tatura</v>
      </c>
      <c r="B17" s="34" t="n">
        <f aca="false">'Echuca Games For'!B17</f>
        <v>13</v>
      </c>
      <c r="C17" s="12" t="str">
        <f aca="false">'Echuca Games For'!C17</f>
        <v>Home &amp; away</v>
      </c>
      <c r="D17" s="12" t="str">
        <f aca="false">'Echuca Games For'!D17</f>
        <v>W</v>
      </c>
      <c r="E17" s="35" t="n">
        <f aca="false">'Echuca Games For'!E17-'Echuca Games Against'!E17</f>
        <v>61</v>
      </c>
      <c r="F17" s="35" t="n">
        <f aca="false">'Echuca Games For'!F17-'Echuca Games Against'!F17</f>
        <v>8</v>
      </c>
      <c r="G17" s="35" t="n">
        <f aca="false">'Echuca Games For'!G17-'Echuca Games Against'!G17</f>
        <v>53</v>
      </c>
      <c r="H17" s="35" t="n">
        <f aca="false">'Echuca Games For'!H17-'Echuca Games Against'!H17</f>
        <v>41</v>
      </c>
      <c r="I17" s="35" t="n">
        <f aca="false">'Echuca Games For'!I17-'Echuca Games Against'!I17</f>
        <v>33</v>
      </c>
      <c r="J17" s="35" t="n">
        <f aca="false">'Echuca Games For'!J17-'Echuca Games Against'!J17</f>
        <v>7</v>
      </c>
      <c r="K17" s="35" t="n">
        <f aca="false">'Echuca Games For'!K17-'Echuca Games Against'!K17</f>
        <v>26</v>
      </c>
      <c r="L17" s="35" t="n">
        <f aca="false">'Echuca Games For'!L17-'Echuca Games Against'!L17</f>
        <v>1</v>
      </c>
      <c r="M17" s="35" t="n">
        <f aca="false">'Echuca Games For'!M17-'Echuca Games Against'!M17</f>
        <v>12</v>
      </c>
      <c r="N17" s="35" t="n">
        <f aca="false">'Echuca Games For'!N17-'Echuca Games Against'!N17</f>
        <v>3</v>
      </c>
      <c r="O17" s="35" t="n">
        <f aca="false">'Echuca Games For'!O17-'Echuca Games Against'!O17</f>
        <v>-7</v>
      </c>
      <c r="P17" s="35" t="n">
        <f aca="false">'Echuca Games For'!P17-'Echuca Games Against'!P17</f>
        <v>10</v>
      </c>
      <c r="Q17" s="35" t="n">
        <f aca="false">'Echuca Games For'!Q17-'Echuca Games Against'!Q17</f>
        <v>-17</v>
      </c>
      <c r="R17" s="35" t="n">
        <f aca="false">'Echuca Games For'!R17-'Echuca Games Against'!R17</f>
        <v>-5</v>
      </c>
      <c r="S17" s="35" t="n">
        <f aca="false">'Echuca Games For'!S17-'Echuca Games Against'!S17</f>
        <v>17</v>
      </c>
      <c r="T17" s="35" t="n">
        <f aca="false">'Echuca Games For'!T17-'Echuca Games Against'!T17</f>
        <v>484</v>
      </c>
      <c r="U17" s="35" t="n">
        <f aca="false">'Echuca Games For'!U17-'Echuca Games Against'!U17</f>
        <v>-18</v>
      </c>
      <c r="V17" s="35" t="n">
        <f aca="false">'Echuca Games For'!V17-'Echuca Games Against'!V17</f>
        <v>2</v>
      </c>
      <c r="W17" s="35" t="n">
        <f aca="false">'Echuca Games For'!W17-'Echuca Games Against'!W17</f>
        <v>8</v>
      </c>
      <c r="X17" s="35" t="n">
        <f aca="false">'Echuca Games For'!X17-'Echuca Games Against'!X17</f>
        <v>9</v>
      </c>
      <c r="Y17" s="35" t="n">
        <f aca="false">'Echuca Games For'!Y17-'Echuca Games Against'!Y17</f>
        <v>1</v>
      </c>
      <c r="Z17" s="35" t="n">
        <f aca="false">'Echuca Games For'!Z17-'Echuca Games Against'!Z17</f>
        <v>-2</v>
      </c>
      <c r="AA17" s="35" t="n">
        <f aca="false">'Echuca Games For'!AA17-'Echuca Games Against'!AA17</f>
        <v>33</v>
      </c>
      <c r="AB17" s="35" t="n">
        <f aca="false">'Echuca Games For'!AB17-'Echuca Games Against'!AB17</f>
        <v>-16</v>
      </c>
      <c r="AC17" s="35" t="n">
        <f aca="false">'Echuca Games For'!AC17-'Echuca Games Against'!AC17</f>
        <v>-7</v>
      </c>
      <c r="AD17" s="35" t="n">
        <f aca="false">'Echuca Games For'!AD17-'Echuca Games Against'!AD17</f>
        <v>-10</v>
      </c>
      <c r="AE17" s="35" t="n">
        <f aca="false">'Echuca Games For'!AE17-'Echuca Games Against'!AE17</f>
        <v>14</v>
      </c>
      <c r="AF17" s="35" t="n">
        <f aca="false">'Echuca Games For'!AF17-'Echuca Games Against'!AF17</f>
        <v>-3</v>
      </c>
      <c r="AG17" s="35" t="n">
        <f aca="false">'Echuca Games For'!AG17-'Echuca Games Against'!AG17</f>
        <v>0</v>
      </c>
      <c r="AH17" s="35" t="n">
        <f aca="false">'Echuca Games For'!AH17-'Echuca Games Against'!AH17</f>
        <v>-7</v>
      </c>
      <c r="AI17" s="35" t="n">
        <f aca="false">'Echuca Games For'!AI17-'Echuca Games Against'!AI17</f>
        <v>4</v>
      </c>
      <c r="AJ17" s="35" t="n">
        <f aca="false">'Echuca Games For'!AJ17-'Echuca Games Against'!AJ17</f>
        <v>16</v>
      </c>
      <c r="AK17" s="35" t="n">
        <f aca="false">'Echuca Games For'!AK17-'Echuca Games Against'!AK17</f>
        <v>-4</v>
      </c>
      <c r="AL17" s="35" t="n">
        <f aca="false">'Echuca Games For'!AL17-'Echuca Games Against'!AL17</f>
        <v>-5</v>
      </c>
      <c r="AM17" s="35" t="n">
        <f aca="false">'Echuca Games For'!AM17-'Echuca Games Against'!AM17</f>
        <v>5</v>
      </c>
      <c r="AN17" s="35" t="n">
        <f aca="false">'Echuca Games For'!AN17-'Echuca Games Against'!AN17</f>
        <v>5</v>
      </c>
      <c r="AO17" s="35" t="n">
        <f aca="false">'Echuca Games For'!AO17-'Echuca Games Against'!AO17</f>
        <v>0</v>
      </c>
      <c r="AP17" s="35" t="n">
        <f aca="false">'Echuca Games For'!AP17-'Echuca Games Against'!AP17</f>
        <v>20</v>
      </c>
      <c r="AQ17" s="35" t="n">
        <f aca="false">'Echuca Games For'!AQ17-'Echuca Games Against'!AQ17</f>
        <v>24</v>
      </c>
      <c r="AR17" s="35" t="n">
        <f aca="false">'Echuca Games For'!AR17-'Echuca Games Against'!AR17</f>
        <v>10</v>
      </c>
      <c r="AS17" s="35" t="n">
        <f aca="false">'Echuca Games For'!AS17-'Echuca Games Against'!AS17</f>
        <v>6</v>
      </c>
      <c r="AT17" s="35" t="n">
        <f aca="false">'Echuca Games For'!AT17-'Echuca Games Against'!AT17</f>
        <v>4</v>
      </c>
      <c r="AU17" s="35" t="n">
        <f aca="false">'Echuca Games For'!AU17-'Echuca Games Against'!AU17</f>
        <v>18</v>
      </c>
      <c r="AV17" s="35" t="n">
        <f aca="false">'Echuca Games For'!AV17-'Echuca Games Against'!AV17</f>
        <v>10</v>
      </c>
      <c r="AW17" s="35" t="n">
        <f aca="false">'Echuca Games For'!AW17-'Echuca Games Against'!AW17</f>
        <v>0</v>
      </c>
      <c r="AX17" s="35" t="n">
        <f aca="false">'Echuca Games For'!AX17-'Echuca Games Against'!AX17</f>
        <v>32</v>
      </c>
      <c r="AY17" s="35" t="n">
        <f aca="false">'Echuca Games For'!AY17-'Echuca Games Against'!AY17</f>
        <v>28</v>
      </c>
      <c r="AZ17" s="35" t="n">
        <f aca="false">'Echuca Games For'!AZ17-'Echuca Games Against'!AZ17</f>
        <v>40</v>
      </c>
      <c r="BA17" s="35" t="n">
        <f aca="false">'Echuca Games For'!BA17-'Echuca Games Against'!BA17</f>
        <v>7</v>
      </c>
      <c r="BB17" s="35" t="n">
        <f aca="false">'Echuca Games For'!BB17-'Echuca Games Against'!BB17</f>
        <v>13</v>
      </c>
      <c r="BC17" s="35" t="n">
        <f aca="false">'Echuca Games For'!BC17-'Echuca Games Against'!BC17</f>
        <v>6</v>
      </c>
      <c r="BD17" s="35" t="n">
        <f aca="false">'Echuca Games For'!BD17-'Echuca Games Against'!BD17</f>
        <v>7</v>
      </c>
      <c r="BE17" s="35" t="n">
        <f aca="false">'Echuca Games For'!BE17-'Echuca Games Against'!BE17</f>
        <v>25</v>
      </c>
      <c r="BF17" s="35" t="n">
        <f aca="false">'Echuca Games For'!BF17-'Echuca Games Against'!BF17</f>
        <v>16</v>
      </c>
      <c r="BG17" s="35" t="n">
        <f aca="false">'Echuca Games For'!BG17-'Echuca Games Against'!BG17</f>
        <v>-11</v>
      </c>
      <c r="BH17" s="35" t="n">
        <f aca="false">'Echuca Games For'!BH17-'Echuca Games Against'!BH17</f>
        <v>20</v>
      </c>
      <c r="BI17" s="35" t="n">
        <f aca="false">'Echuca Games For'!BI17-'Echuca Games Against'!BI17</f>
        <v>51</v>
      </c>
      <c r="BJ17" s="35" t="n">
        <f aca="false">'Echuca Games For'!BJ17-'Echuca Games Against'!BJ17</f>
        <v>71</v>
      </c>
      <c r="BK17" s="35" t="n">
        <f aca="false">'Echuca Games For'!BK17-'Echuca Games Against'!BK17</f>
        <v>16</v>
      </c>
      <c r="BL17" s="35" t="n">
        <f aca="false">'Echuca Games For'!BL17-'Echuca Games Against'!BL17</f>
        <v>-5</v>
      </c>
    </row>
    <row r="18" customFormat="false" ht="15" hidden="false" customHeight="false" outlineLevel="0" collapsed="false">
      <c r="A18" s="12" t="str">
        <f aca="false">'Echuca Games For'!A18</f>
        <v>Rochester</v>
      </c>
      <c r="B18" s="34" t="n">
        <f aca="false">'Echuca Games For'!B18</f>
        <v>14</v>
      </c>
      <c r="C18" s="12" t="str">
        <f aca="false">'Echuca Games For'!C18</f>
        <v>Home &amp; away</v>
      </c>
      <c r="D18" s="12" t="str">
        <f aca="false">'Echuca Games For'!D18</f>
        <v>W</v>
      </c>
      <c r="E18" s="35" t="n">
        <f aca="false">'Echuca Games For'!E18-'Echuca Games Against'!E18</f>
        <v>-12</v>
      </c>
      <c r="F18" s="35" t="n">
        <f aca="false">'Echuca Games For'!F18-'Echuca Games Against'!F18</f>
        <v>29</v>
      </c>
      <c r="G18" s="35" t="n">
        <f aca="false">'Echuca Games For'!G18-'Echuca Games Against'!G18</f>
        <v>-41</v>
      </c>
      <c r="H18" s="35" t="n">
        <f aca="false">'Echuca Games For'!H18-'Echuca Games Against'!H18</f>
        <v>-11</v>
      </c>
      <c r="I18" s="35" t="n">
        <f aca="false">'Echuca Games For'!I18-'Echuca Games Against'!I18</f>
        <v>-14</v>
      </c>
      <c r="J18" s="35" t="n">
        <f aca="false">'Echuca Games For'!J18-'Echuca Games Against'!J18</f>
        <v>-14</v>
      </c>
      <c r="K18" s="35" t="n">
        <f aca="false">'Echuca Games For'!K18-'Echuca Games Against'!K18</f>
        <v>0</v>
      </c>
      <c r="L18" s="35" t="n">
        <f aca="false">'Echuca Games For'!L18-'Echuca Games Against'!L18</f>
        <v>7</v>
      </c>
      <c r="M18" s="35" t="n">
        <f aca="false">'Echuca Games For'!M18-'Echuca Games Against'!M18</f>
        <v>2</v>
      </c>
      <c r="N18" s="35" t="n">
        <f aca="false">'Echuca Games For'!N18-'Echuca Games Against'!N18</f>
        <v>-9</v>
      </c>
      <c r="O18" s="35" t="n">
        <f aca="false">'Echuca Games For'!O18-'Echuca Games Against'!O18</f>
        <v>18</v>
      </c>
      <c r="P18" s="35" t="n">
        <f aca="false">'Echuca Games For'!P18-'Echuca Games Against'!P18</f>
        <v>2</v>
      </c>
      <c r="Q18" s="35" t="n">
        <f aca="false">'Echuca Games For'!Q18-'Echuca Games Against'!Q18</f>
        <v>16</v>
      </c>
      <c r="R18" s="35" t="n">
        <f aca="false">'Echuca Games For'!R18-'Echuca Games Against'!R18</f>
        <v>3</v>
      </c>
      <c r="S18" s="35" t="n">
        <f aca="false">'Echuca Games For'!S18-'Echuca Games Against'!S18</f>
        <v>0</v>
      </c>
      <c r="T18" s="35" t="n">
        <f aca="false">'Echuca Games For'!T18-'Echuca Games Against'!T18</f>
        <v>149</v>
      </c>
      <c r="U18" s="35" t="n">
        <f aca="false">'Echuca Games For'!U18-'Echuca Games Against'!U18</f>
        <v>-16</v>
      </c>
      <c r="V18" s="35" t="n">
        <f aca="false">'Echuca Games For'!V18-'Echuca Games Against'!V18</f>
        <v>-6</v>
      </c>
      <c r="W18" s="35" t="n">
        <f aca="false">'Echuca Games For'!W18-'Echuca Games Against'!W18</f>
        <v>-14</v>
      </c>
      <c r="X18" s="35" t="n">
        <f aca="false">'Echuca Games For'!X18-'Echuca Games Against'!X18</f>
        <v>-6</v>
      </c>
      <c r="Y18" s="35" t="n">
        <f aca="false">'Echuca Games For'!Y18-'Echuca Games Against'!Y18</f>
        <v>0</v>
      </c>
      <c r="Z18" s="35" t="n">
        <f aca="false">'Echuca Games For'!Z18-'Echuca Games Against'!Z18</f>
        <v>-8</v>
      </c>
      <c r="AA18" s="35" t="n">
        <f aca="false">'Echuca Games For'!AA18-'Echuca Games Against'!AA18</f>
        <v>-5</v>
      </c>
      <c r="AB18" s="35" t="n">
        <f aca="false">'Echuca Games For'!AB18-'Echuca Games Against'!AB18</f>
        <v>13</v>
      </c>
      <c r="AC18" s="35" t="n">
        <f aca="false">'Echuca Games For'!AC18-'Echuca Games Against'!AC18</f>
        <v>6</v>
      </c>
      <c r="AD18" s="35" t="n">
        <f aca="false">'Echuca Games For'!AD18-'Echuca Games Against'!AD18</f>
        <v>8</v>
      </c>
      <c r="AE18" s="35" t="n">
        <f aca="false">'Echuca Games For'!AE18-'Echuca Games Against'!AE18</f>
        <v>7</v>
      </c>
      <c r="AF18" s="35" t="n">
        <f aca="false">'Echuca Games For'!AF18-'Echuca Games Against'!AF18</f>
        <v>-9</v>
      </c>
      <c r="AG18" s="35" t="n">
        <f aca="false">'Echuca Games For'!AG18-'Echuca Games Against'!AG18</f>
        <v>2</v>
      </c>
      <c r="AH18" s="35" t="n">
        <f aca="false">'Echuca Games For'!AH18-'Echuca Games Against'!AH18</f>
        <v>-4</v>
      </c>
      <c r="AI18" s="35" t="n">
        <f aca="false">'Echuca Games For'!AI18-'Echuca Games Against'!AI18</f>
        <v>-7</v>
      </c>
      <c r="AJ18" s="35" t="n">
        <f aca="false">'Echuca Games For'!AJ18-'Echuca Games Against'!AJ18</f>
        <v>48</v>
      </c>
      <c r="AK18" s="35" t="n">
        <f aca="false">'Echuca Games For'!AK18-'Echuca Games Against'!AK18</f>
        <v>24</v>
      </c>
      <c r="AL18" s="35" t="n">
        <f aca="false">'Echuca Games For'!AL18-'Echuca Games Against'!AL18</f>
        <v>-2</v>
      </c>
      <c r="AM18" s="35" t="n">
        <f aca="false">'Echuca Games For'!AM18-'Echuca Games Against'!AM18</f>
        <v>-3</v>
      </c>
      <c r="AN18" s="35" t="n">
        <f aca="false">'Echuca Games For'!AN18-'Echuca Games Against'!AN18</f>
        <v>4</v>
      </c>
      <c r="AO18" s="35" t="n">
        <f aca="false">'Echuca Games For'!AO18-'Echuca Games Against'!AO18</f>
        <v>1</v>
      </c>
      <c r="AP18" s="35" t="n">
        <f aca="false">'Echuca Games For'!AP18-'Echuca Games Against'!AP18</f>
        <v>29</v>
      </c>
      <c r="AQ18" s="35" t="n">
        <f aca="false">'Echuca Games For'!AQ18-'Echuca Games Against'!AQ18</f>
        <v>11</v>
      </c>
      <c r="AR18" s="35" t="n">
        <f aca="false">'Echuca Games For'!AR18-'Echuca Games Against'!AR18</f>
        <v>2</v>
      </c>
      <c r="AS18" s="35" t="n">
        <f aca="false">'Echuca Games For'!AS18-'Echuca Games Against'!AS18</f>
        <v>23</v>
      </c>
      <c r="AT18" s="35" t="n">
        <f aca="false">'Echuca Games For'!AT18-'Echuca Games Against'!AT18</f>
        <v>4</v>
      </c>
      <c r="AU18" s="35" t="n">
        <f aca="false">'Echuca Games For'!AU18-'Echuca Games Against'!AU18</f>
        <v>6</v>
      </c>
      <c r="AV18" s="35" t="n">
        <f aca="false">'Echuca Games For'!AV18-'Echuca Games Against'!AV18</f>
        <v>-8</v>
      </c>
      <c r="AW18" s="35" t="n">
        <f aca="false">'Echuca Games For'!AW18-'Echuca Games Against'!AW18</f>
        <v>0</v>
      </c>
      <c r="AX18" s="35" t="n">
        <f aca="false">'Echuca Games For'!AX18-'Echuca Games Against'!AX18</f>
        <v>0</v>
      </c>
      <c r="AY18" s="35" t="n">
        <f aca="false">'Echuca Games For'!AY18-'Echuca Games Against'!AY18</f>
        <v>-2</v>
      </c>
      <c r="AZ18" s="35" t="n">
        <f aca="false">'Echuca Games For'!AZ18-'Echuca Games Against'!AZ18</f>
        <v>31</v>
      </c>
      <c r="BA18" s="35" t="n">
        <f aca="false">'Echuca Games For'!BA18-'Echuca Games Against'!BA18</f>
        <v>2</v>
      </c>
      <c r="BB18" s="35" t="n">
        <f aca="false">'Echuca Games For'!BB18-'Echuca Games Against'!BB18</f>
        <v>5</v>
      </c>
      <c r="BC18" s="35" t="n">
        <f aca="false">'Echuca Games For'!BC18-'Echuca Games Against'!BC18</f>
        <v>9</v>
      </c>
      <c r="BD18" s="35" t="n">
        <f aca="false">'Echuca Games For'!BD18-'Echuca Games Against'!BD18</f>
        <v>-4</v>
      </c>
      <c r="BE18" s="35" t="n">
        <f aca="false">'Echuca Games For'!BE18-'Echuca Games Against'!BE18</f>
        <v>0</v>
      </c>
      <c r="BF18" s="35" t="n">
        <f aca="false">'Echuca Games For'!BF18-'Echuca Games Against'!BF18</f>
        <v>-5</v>
      </c>
      <c r="BG18" s="35" t="n">
        <f aca="false">'Echuca Games For'!BG18-'Echuca Games Against'!BG18</f>
        <v>16</v>
      </c>
      <c r="BH18" s="35" t="n">
        <f aca="false">'Echuca Games For'!BH18-'Echuca Games Against'!BH18</f>
        <v>37</v>
      </c>
      <c r="BI18" s="35" t="n">
        <f aca="false">'Echuca Games For'!BI18-'Echuca Games Against'!BI18</f>
        <v>-37</v>
      </c>
      <c r="BJ18" s="35" t="n">
        <f aca="false">'Echuca Games For'!BJ18-'Echuca Games Against'!BJ18</f>
        <v>0</v>
      </c>
      <c r="BK18" s="35" t="n">
        <f aca="false">'Echuca Games For'!BK18-'Echuca Games Against'!BK18</f>
        <v>-9</v>
      </c>
      <c r="BL18" s="35" t="n">
        <f aca="false">'Echuca Games For'!BL18-'Echuca Games Against'!BL18</f>
        <v>6</v>
      </c>
    </row>
    <row r="19" customFormat="false" ht="15" hidden="false" customHeight="false" outlineLevel="0" collapsed="false">
      <c r="A19" s="12" t="str">
        <f aca="false">'Echuca Games For'!A19</f>
        <v>Kyabram</v>
      </c>
      <c r="B19" s="34" t="n">
        <f aca="false">'Echuca Games For'!B19</f>
        <v>15</v>
      </c>
      <c r="C19" s="12" t="str">
        <f aca="false">'Echuca Games For'!C19</f>
        <v>Home &amp; away</v>
      </c>
      <c r="D19" s="12" t="str">
        <f aca="false">'Echuca Games For'!D19</f>
        <v>L</v>
      </c>
      <c r="E19" s="35" t="n">
        <f aca="false">'Echuca Games For'!E19-'Echuca Games Against'!E19</f>
        <v>6</v>
      </c>
      <c r="F19" s="35" t="n">
        <f aca="false">'Echuca Games For'!F19-'Echuca Games Against'!F19</f>
        <v>-29</v>
      </c>
      <c r="G19" s="35" t="n">
        <f aca="false">'Echuca Games For'!G19-'Echuca Games Against'!G19</f>
        <v>35</v>
      </c>
      <c r="H19" s="35" t="n">
        <f aca="false">'Echuca Games For'!H19-'Echuca Games Against'!H19</f>
        <v>21</v>
      </c>
      <c r="I19" s="35" t="n">
        <f aca="false">'Echuca Games For'!I19-'Echuca Games Against'!I19</f>
        <v>38</v>
      </c>
      <c r="J19" s="35" t="n">
        <f aca="false">'Echuca Games For'!J19-'Echuca Games Against'!J19</f>
        <v>14</v>
      </c>
      <c r="K19" s="35" t="n">
        <f aca="false">'Echuca Games For'!K19-'Echuca Games Against'!K19</f>
        <v>24</v>
      </c>
      <c r="L19" s="35" t="n">
        <f aca="false">'Echuca Games For'!L19-'Echuca Games Against'!L19</f>
        <v>-18</v>
      </c>
      <c r="M19" s="35" t="n">
        <f aca="false">'Echuca Games For'!M19-'Echuca Games Against'!M19</f>
        <v>-11</v>
      </c>
      <c r="N19" s="35" t="n">
        <f aca="false">'Echuca Games For'!N19-'Echuca Games Against'!N19</f>
        <v>6</v>
      </c>
      <c r="O19" s="35" t="n">
        <f aca="false">'Echuca Games For'!O19-'Echuca Games Against'!O19</f>
        <v>-38</v>
      </c>
      <c r="P19" s="35" t="n">
        <f aca="false">'Echuca Games For'!P19-'Echuca Games Against'!P19</f>
        <v>-2</v>
      </c>
      <c r="Q19" s="35" t="n">
        <f aca="false">'Echuca Games For'!Q19-'Echuca Games Against'!Q19</f>
        <v>-36</v>
      </c>
      <c r="R19" s="35" t="n">
        <f aca="false">'Echuca Games For'!R19-'Echuca Games Against'!R19</f>
        <v>-15</v>
      </c>
      <c r="S19" s="35" t="n">
        <f aca="false">'Echuca Games For'!S19-'Echuca Games Against'!S19</f>
        <v>-1</v>
      </c>
      <c r="T19" s="35" t="n">
        <f aca="false">'Echuca Games For'!T19-'Echuca Games Against'!T19</f>
        <v>-171</v>
      </c>
      <c r="U19" s="35" t="n">
        <f aca="false">'Echuca Games For'!U19-'Echuca Games Against'!U19</f>
        <v>-26</v>
      </c>
      <c r="V19" s="35" t="n">
        <f aca="false">'Echuca Games For'!V19-'Echuca Games Against'!V19</f>
        <v>-2</v>
      </c>
      <c r="W19" s="35" t="n">
        <f aca="false">'Echuca Games For'!W19-'Echuca Games Against'!W19</f>
        <v>-7</v>
      </c>
      <c r="X19" s="35" t="n">
        <f aca="false">'Echuca Games For'!X19-'Echuca Games Against'!X19</f>
        <v>4</v>
      </c>
      <c r="Y19" s="35" t="n">
        <f aca="false">'Echuca Games For'!Y19-'Echuca Games Against'!Y19</f>
        <v>-10</v>
      </c>
      <c r="Z19" s="35" t="n">
        <f aca="false">'Echuca Games For'!Z19-'Echuca Games Against'!Z19</f>
        <v>-1</v>
      </c>
      <c r="AA19" s="35" t="n">
        <f aca="false">'Echuca Games For'!AA19-'Echuca Games Against'!AA19</f>
        <v>5</v>
      </c>
      <c r="AB19" s="35" t="n">
        <f aca="false">'Echuca Games For'!AB19-'Echuca Games Against'!AB19</f>
        <v>-6</v>
      </c>
      <c r="AC19" s="35" t="n">
        <f aca="false">'Echuca Games For'!AC19-'Echuca Games Against'!AC19</f>
        <v>-3</v>
      </c>
      <c r="AD19" s="35" t="n">
        <f aca="false">'Echuca Games For'!AD19-'Echuca Games Against'!AD19</f>
        <v>3</v>
      </c>
      <c r="AE19" s="35" t="n">
        <f aca="false">'Echuca Games For'!AE19-'Echuca Games Against'!AE19</f>
        <v>18</v>
      </c>
      <c r="AF19" s="35" t="n">
        <f aca="false">'Echuca Games For'!AF19-'Echuca Games Against'!AF19</f>
        <v>14</v>
      </c>
      <c r="AG19" s="35" t="n">
        <f aca="false">'Echuca Games For'!AG19-'Echuca Games Against'!AG19</f>
        <v>1</v>
      </c>
      <c r="AH19" s="35" t="n">
        <f aca="false">'Echuca Games For'!AH19-'Echuca Games Against'!AH19</f>
        <v>0</v>
      </c>
      <c r="AI19" s="35" t="n">
        <f aca="false">'Echuca Games For'!AI19-'Echuca Games Against'!AI19</f>
        <v>13</v>
      </c>
      <c r="AJ19" s="35" t="n">
        <f aca="false">'Echuca Games For'!AJ19-'Echuca Games Against'!AJ19</f>
        <v>16</v>
      </c>
      <c r="AK19" s="35" t="n">
        <f aca="false">'Echuca Games For'!AK19-'Echuca Games Against'!AK19</f>
        <v>-3</v>
      </c>
      <c r="AL19" s="35" t="n">
        <f aca="false">'Echuca Games For'!AL19-'Echuca Games Against'!AL19</f>
        <v>2</v>
      </c>
      <c r="AM19" s="35" t="n">
        <f aca="false">'Echuca Games For'!AM19-'Echuca Games Against'!AM19</f>
        <v>0</v>
      </c>
      <c r="AN19" s="35" t="n">
        <f aca="false">'Echuca Games For'!AN19-'Echuca Games Against'!AN19</f>
        <v>16</v>
      </c>
      <c r="AO19" s="35" t="n">
        <f aca="false">'Echuca Games For'!AO19-'Echuca Games Against'!AO19</f>
        <v>2</v>
      </c>
      <c r="AP19" s="35" t="n">
        <f aca="false">'Echuca Games For'!AP19-'Echuca Games Against'!AP19</f>
        <v>17</v>
      </c>
      <c r="AQ19" s="35" t="n">
        <f aca="false">'Echuca Games For'!AQ19-'Echuca Games Against'!AQ19</f>
        <v>18</v>
      </c>
      <c r="AR19" s="35" t="n">
        <f aca="false">'Echuca Games For'!AR19-'Echuca Games Against'!AR19</f>
        <v>5</v>
      </c>
      <c r="AS19" s="35" t="n">
        <f aca="false">'Echuca Games For'!AS19-'Echuca Games Against'!AS19</f>
        <v>13</v>
      </c>
      <c r="AT19" s="35" t="n">
        <f aca="false">'Echuca Games For'!AT19-'Echuca Games Against'!AT19</f>
        <v>-1</v>
      </c>
      <c r="AU19" s="35" t="n">
        <f aca="false">'Echuca Games For'!AU19-'Echuca Games Against'!AU19</f>
        <v>-3</v>
      </c>
      <c r="AV19" s="35" t="n">
        <f aca="false">'Echuca Games For'!AV19-'Echuca Games Against'!AV19</f>
        <v>3</v>
      </c>
      <c r="AW19" s="35" t="n">
        <f aca="false">'Echuca Games For'!AW19-'Echuca Games Against'!AW19</f>
        <v>-5</v>
      </c>
      <c r="AX19" s="35" t="n">
        <f aca="false">'Echuca Games For'!AX19-'Echuca Games Against'!AX19</f>
        <v>-15</v>
      </c>
      <c r="AY19" s="35" t="n">
        <f aca="false">'Echuca Games For'!AY19-'Echuca Games Against'!AY19</f>
        <v>-5</v>
      </c>
      <c r="AZ19" s="35" t="n">
        <f aca="false">'Echuca Games For'!AZ19-'Echuca Games Against'!AZ19</f>
        <v>-1</v>
      </c>
      <c r="BA19" s="35" t="n">
        <f aca="false">'Echuca Games For'!BA19-'Echuca Games Against'!BA19</f>
        <v>0</v>
      </c>
      <c r="BB19" s="35" t="n">
        <f aca="false">'Echuca Games For'!BB19-'Echuca Games Against'!BB19</f>
        <v>-13</v>
      </c>
      <c r="BC19" s="35" t="n">
        <f aca="false">'Echuca Games For'!BC19-'Echuca Games Against'!BC19</f>
        <v>-5</v>
      </c>
      <c r="BD19" s="35" t="n">
        <f aca="false">'Echuca Games For'!BD19-'Echuca Games Against'!BD19</f>
        <v>4</v>
      </c>
      <c r="BE19" s="35" t="n">
        <f aca="false">'Echuca Games For'!BE19-'Echuca Games Against'!BE19</f>
        <v>15</v>
      </c>
      <c r="BF19" s="35" t="n">
        <f aca="false">'Echuca Games For'!BF19-'Echuca Games Against'!BF19</f>
        <v>3</v>
      </c>
      <c r="BG19" s="35" t="n">
        <f aca="false">'Echuca Games For'!BG19-'Echuca Games Against'!BG19</f>
        <v>17</v>
      </c>
      <c r="BH19" s="35" t="n">
        <f aca="false">'Echuca Games For'!BH19-'Echuca Games Against'!BH19</f>
        <v>-28</v>
      </c>
      <c r="BI19" s="35" t="n">
        <f aca="false">'Echuca Games For'!BI19-'Echuca Games Against'!BI19</f>
        <v>32</v>
      </c>
      <c r="BJ19" s="35" t="n">
        <f aca="false">'Echuca Games For'!BJ19-'Echuca Games Against'!BJ19</f>
        <v>4</v>
      </c>
      <c r="BK19" s="35" t="n">
        <f aca="false">'Echuca Games For'!BK19-'Echuca Games Against'!BK19</f>
        <v>2</v>
      </c>
      <c r="BL19" s="35" t="n">
        <f aca="false">'Echuca Games For'!BL19-'Echuca Games Against'!BL19</f>
        <v>-2</v>
      </c>
    </row>
    <row r="20" customFormat="false" ht="15" hidden="false" customHeight="false" outlineLevel="0" collapsed="false">
      <c r="A20" s="12" t="str">
        <f aca="false">'Echuca Games For'!A20</f>
        <v>Seymour</v>
      </c>
      <c r="B20" s="34" t="n">
        <f aca="false">'Echuca Games For'!B20</f>
        <v>16</v>
      </c>
      <c r="C20" s="12" t="str">
        <f aca="false">'Echuca Games For'!C20</f>
        <v>Home &amp; away</v>
      </c>
      <c r="D20" s="12" t="str">
        <f aca="false">'Echuca Games For'!D20</f>
        <v>W</v>
      </c>
      <c r="E20" s="35" t="n">
        <f aca="false">'Echuca Games For'!E20-'Echuca Games Against'!E20</f>
        <v>-5</v>
      </c>
      <c r="F20" s="35" t="n">
        <f aca="false">'Echuca Games For'!F20-'Echuca Games Against'!F20</f>
        <v>-13</v>
      </c>
      <c r="G20" s="35" t="n">
        <f aca="false">'Echuca Games For'!G20-'Echuca Games Against'!G20</f>
        <v>8</v>
      </c>
      <c r="H20" s="35" t="n">
        <f aca="false">'Echuca Games For'!H20-'Echuca Games Against'!H20</f>
        <v>-2</v>
      </c>
      <c r="I20" s="35" t="n">
        <f aca="false">'Echuca Games For'!I20-'Echuca Games Against'!I20</f>
        <v>6</v>
      </c>
      <c r="J20" s="35" t="n">
        <f aca="false">'Echuca Games For'!J20-'Echuca Games Against'!J20</f>
        <v>8</v>
      </c>
      <c r="K20" s="35" t="n">
        <f aca="false">'Echuca Games For'!K20-'Echuca Games Against'!K20</f>
        <v>-2</v>
      </c>
      <c r="L20" s="35" t="n">
        <f aca="false">'Echuca Games For'!L20-'Echuca Games Against'!L20</f>
        <v>-3</v>
      </c>
      <c r="M20" s="35" t="n">
        <f aca="false">'Echuca Games For'!M20-'Echuca Games Against'!M20</f>
        <v>4</v>
      </c>
      <c r="N20" s="35" t="n">
        <f aca="false">'Echuca Games For'!N20-'Echuca Games Against'!N20</f>
        <v>5</v>
      </c>
      <c r="O20" s="35" t="n">
        <f aca="false">'Echuca Games For'!O20-'Echuca Games Against'!O20</f>
        <v>-34</v>
      </c>
      <c r="P20" s="35" t="n">
        <f aca="false">'Echuca Games For'!P20-'Echuca Games Against'!P20</f>
        <v>-9</v>
      </c>
      <c r="Q20" s="35" t="n">
        <f aca="false">'Echuca Games For'!Q20-'Echuca Games Against'!Q20</f>
        <v>-25</v>
      </c>
      <c r="R20" s="35" t="n">
        <f aca="false">'Echuca Games For'!R20-'Echuca Games Against'!R20</f>
        <v>-9</v>
      </c>
      <c r="S20" s="35" t="n">
        <f aca="false">'Echuca Games For'!S20-'Echuca Games Against'!S20</f>
        <v>-6</v>
      </c>
      <c r="T20" s="35" t="n">
        <f aca="false">'Echuca Games For'!T20-'Echuca Games Against'!T20</f>
        <v>-93</v>
      </c>
      <c r="U20" s="35" t="n">
        <f aca="false">'Echuca Games For'!U20-'Echuca Games Against'!U20</f>
        <v>-18</v>
      </c>
      <c r="V20" s="35" t="n">
        <f aca="false">'Echuca Games For'!V20-'Echuca Games Against'!V20</f>
        <v>-2</v>
      </c>
      <c r="W20" s="35" t="n">
        <f aca="false">'Echuca Games For'!W20-'Echuca Games Against'!W20</f>
        <v>2</v>
      </c>
      <c r="X20" s="35" t="n">
        <f aca="false">'Echuca Games For'!X20-'Echuca Games Against'!X20</f>
        <v>-1</v>
      </c>
      <c r="Y20" s="35" t="n">
        <f aca="false">'Echuca Games For'!Y20-'Echuca Games Against'!Y20</f>
        <v>6</v>
      </c>
      <c r="Z20" s="35" t="n">
        <f aca="false">'Echuca Games For'!Z20-'Echuca Games Against'!Z20</f>
        <v>-3</v>
      </c>
      <c r="AA20" s="35" t="n">
        <f aca="false">'Echuca Games For'!AA20-'Echuca Games Against'!AA20</f>
        <v>20</v>
      </c>
      <c r="AB20" s="35" t="n">
        <f aca="false">'Echuca Games For'!AB20-'Echuca Games Against'!AB20</f>
        <v>-18</v>
      </c>
      <c r="AC20" s="35" t="n">
        <f aca="false">'Echuca Games For'!AC20-'Echuca Games Against'!AC20</f>
        <v>-1</v>
      </c>
      <c r="AD20" s="35" t="n">
        <f aca="false">'Echuca Games For'!AD20-'Echuca Games Against'!AD20</f>
        <v>-2</v>
      </c>
      <c r="AE20" s="35" t="n">
        <f aca="false">'Echuca Games For'!AE20-'Echuca Games Against'!AE20</f>
        <v>15</v>
      </c>
      <c r="AF20" s="35" t="n">
        <f aca="false">'Echuca Games For'!AF20-'Echuca Games Against'!AF20</f>
        <v>-2</v>
      </c>
      <c r="AG20" s="35" t="n">
        <f aca="false">'Echuca Games For'!AG20-'Echuca Games Against'!AG20</f>
        <v>-3</v>
      </c>
      <c r="AH20" s="35" t="n">
        <f aca="false">'Echuca Games For'!AH20-'Echuca Games Against'!AH20</f>
        <v>-12</v>
      </c>
      <c r="AI20" s="35" t="n">
        <f aca="false">'Echuca Games For'!AI20-'Echuca Games Against'!AI20</f>
        <v>13</v>
      </c>
      <c r="AJ20" s="35" t="n">
        <f aca="false">'Echuca Games For'!AJ20-'Echuca Games Against'!AJ20</f>
        <v>11</v>
      </c>
      <c r="AK20" s="35" t="n">
        <f aca="false">'Echuca Games For'!AK20-'Echuca Games Against'!AK20</f>
        <v>16</v>
      </c>
      <c r="AL20" s="35" t="n">
        <f aca="false">'Echuca Games For'!AL20-'Echuca Games Against'!AL20</f>
        <v>-2</v>
      </c>
      <c r="AM20" s="35" t="n">
        <f aca="false">'Echuca Games For'!AM20-'Echuca Games Against'!AM20</f>
        <v>-2</v>
      </c>
      <c r="AN20" s="35" t="n">
        <f aca="false">'Echuca Games For'!AN20-'Echuca Games Against'!AN20</f>
        <v>17</v>
      </c>
      <c r="AO20" s="35" t="n">
        <f aca="false">'Echuca Games For'!AO20-'Echuca Games Against'!AO20</f>
        <v>7</v>
      </c>
      <c r="AP20" s="35" t="n">
        <f aca="false">'Echuca Games For'!AP20-'Echuca Games Against'!AP20</f>
        <v>-1</v>
      </c>
      <c r="AQ20" s="35" t="n">
        <f aca="false">'Echuca Games For'!AQ20-'Echuca Games Against'!AQ20</f>
        <v>3</v>
      </c>
      <c r="AR20" s="35" t="n">
        <f aca="false">'Echuca Games For'!AR20-'Echuca Games Against'!AR20</f>
        <v>-1</v>
      </c>
      <c r="AS20" s="35" t="n">
        <f aca="false">'Echuca Games For'!AS20-'Echuca Games Against'!AS20</f>
        <v>4</v>
      </c>
      <c r="AT20" s="35" t="n">
        <f aca="false">'Echuca Games For'!AT20-'Echuca Games Against'!AT20</f>
        <v>-4</v>
      </c>
      <c r="AU20" s="35" t="n">
        <f aca="false">'Echuca Games For'!AU20-'Echuca Games Against'!AU20</f>
        <v>0</v>
      </c>
      <c r="AV20" s="35" t="n">
        <f aca="false">'Echuca Games For'!AV20-'Echuca Games Against'!AV20</f>
        <v>5</v>
      </c>
      <c r="AW20" s="35" t="n">
        <f aca="false">'Echuca Games For'!AW20-'Echuca Games Against'!AW20</f>
        <v>-2</v>
      </c>
      <c r="AX20" s="35" t="n">
        <f aca="false">'Echuca Games For'!AX20-'Echuca Games Against'!AX20</f>
        <v>-14</v>
      </c>
      <c r="AY20" s="35" t="n">
        <f aca="false">'Echuca Games For'!AY20-'Echuca Games Against'!AY20</f>
        <v>3</v>
      </c>
      <c r="AZ20" s="35" t="n">
        <f aca="false">'Echuca Games For'!AZ20-'Echuca Games Against'!AZ20</f>
        <v>-6</v>
      </c>
      <c r="BA20" s="35" t="n">
        <f aca="false">'Echuca Games For'!BA20-'Echuca Games Against'!BA20</f>
        <v>-2</v>
      </c>
      <c r="BB20" s="35" t="n">
        <f aca="false">'Echuca Games For'!BB20-'Echuca Games Against'!BB20</f>
        <v>-5</v>
      </c>
      <c r="BC20" s="35" t="n">
        <f aca="false">'Echuca Games For'!BC20-'Echuca Games Against'!BC20</f>
        <v>-7</v>
      </c>
      <c r="BD20" s="35" t="n">
        <f aca="false">'Echuca Games For'!BD20-'Echuca Games Against'!BD20</f>
        <v>7</v>
      </c>
      <c r="BE20" s="35" t="n">
        <f aca="false">'Echuca Games For'!BE20-'Echuca Games Against'!BE20</f>
        <v>-11</v>
      </c>
      <c r="BF20" s="35" t="n">
        <f aca="false">'Echuca Games For'!BF20-'Echuca Games Against'!BF20</f>
        <v>-7</v>
      </c>
      <c r="BG20" s="35" t="n">
        <f aca="false">'Echuca Games For'!BG20-'Echuca Games Against'!BG20</f>
        <v>-22</v>
      </c>
      <c r="BH20" s="35" t="n">
        <f aca="false">'Echuca Games For'!BH20-'Echuca Games Against'!BH20</f>
        <v>-22</v>
      </c>
      <c r="BI20" s="35" t="n">
        <f aca="false">'Echuca Games For'!BI20-'Echuca Games Against'!BI20</f>
        <v>14</v>
      </c>
      <c r="BJ20" s="35" t="n">
        <f aca="false">'Echuca Games For'!BJ20-'Echuca Games Against'!BJ20</f>
        <v>-8</v>
      </c>
      <c r="BK20" s="35" t="n">
        <f aca="false">'Echuca Games For'!BK20-'Echuca Games Against'!BK20</f>
        <v>-3</v>
      </c>
      <c r="BL20" s="35" t="n">
        <f aca="false">'Echuca Games For'!BL20-'Echuca Games Against'!BL20</f>
        <v>-14</v>
      </c>
    </row>
    <row r="21" customFormat="false" ht="15" hidden="false" customHeight="false" outlineLevel="0" collapsed="false">
      <c r="A21" s="12" t="str">
        <f aca="false">'Echuca Games For'!A21</f>
        <v>Shepparton United</v>
      </c>
      <c r="B21" s="34" t="n">
        <f aca="false">'Echuca Games For'!B21</f>
        <v>17</v>
      </c>
      <c r="C21" s="12" t="str">
        <f aca="false">'Echuca Games For'!C21</f>
        <v>Home &amp; away</v>
      </c>
      <c r="D21" s="12" t="str">
        <f aca="false">'Echuca Games For'!D21</f>
        <v>W</v>
      </c>
      <c r="E21" s="35" t="n">
        <f aca="false">'Echuca Games For'!E21-'Echuca Games Against'!E21</f>
        <v>112</v>
      </c>
      <c r="F21" s="35" t="n">
        <f aca="false">'Echuca Games For'!F21-'Echuca Games Against'!F21</f>
        <v>52</v>
      </c>
      <c r="G21" s="35" t="n">
        <f aca="false">'Echuca Games For'!G21-'Echuca Games Against'!G21</f>
        <v>60</v>
      </c>
      <c r="H21" s="35" t="n">
        <f aca="false">'Echuca Games For'!H21-'Echuca Games Against'!H21</f>
        <v>36</v>
      </c>
      <c r="I21" s="35" t="n">
        <f aca="false">'Echuca Games For'!I21-'Echuca Games Against'!I21</f>
        <v>28</v>
      </c>
      <c r="J21" s="35" t="n">
        <f aca="false">'Echuca Games For'!J21-'Echuca Games Against'!J21</f>
        <v>2</v>
      </c>
      <c r="K21" s="35" t="n">
        <f aca="false">'Echuca Games For'!K21-'Echuca Games Against'!K21</f>
        <v>26</v>
      </c>
      <c r="L21" s="35" t="n">
        <f aca="false">'Echuca Games For'!L21-'Echuca Games Against'!L21</f>
        <v>-7</v>
      </c>
      <c r="M21" s="35" t="n">
        <f aca="false">'Echuca Games For'!M21-'Echuca Games Against'!M21</f>
        <v>13</v>
      </c>
      <c r="N21" s="35" t="n">
        <f aca="false">'Echuca Games For'!N21-'Echuca Games Against'!N21</f>
        <v>0</v>
      </c>
      <c r="O21" s="35" t="n">
        <f aca="false">'Echuca Games For'!O21-'Echuca Games Against'!O21</f>
        <v>12</v>
      </c>
      <c r="P21" s="35" t="n">
        <f aca="false">'Echuca Games For'!P21-'Echuca Games Against'!P21</f>
        <v>4</v>
      </c>
      <c r="Q21" s="35" t="n">
        <f aca="false">'Echuca Games For'!Q21-'Echuca Games Against'!Q21</f>
        <v>8</v>
      </c>
      <c r="R21" s="35" t="n">
        <f aca="false">'Echuca Games For'!R21-'Echuca Games Against'!R21</f>
        <v>-7</v>
      </c>
      <c r="S21" s="35" t="n">
        <f aca="false">'Echuca Games For'!S21-'Echuca Games Against'!S21</f>
        <v>16</v>
      </c>
      <c r="T21" s="35" t="n">
        <f aca="false">'Echuca Games For'!T21-'Echuca Games Against'!T21</f>
        <v>519</v>
      </c>
      <c r="U21" s="35" t="n">
        <f aca="false">'Echuca Games For'!U21-'Echuca Games Against'!U21</f>
        <v>-42</v>
      </c>
      <c r="V21" s="35" t="n">
        <f aca="false">'Echuca Games For'!V21-'Echuca Games Against'!V21</f>
        <v>-9</v>
      </c>
      <c r="W21" s="35" t="n">
        <f aca="false">'Echuca Games For'!W21-'Echuca Games Against'!W21</f>
        <v>22</v>
      </c>
      <c r="X21" s="35" t="n">
        <f aca="false">'Echuca Games For'!X21-'Echuca Games Against'!X21</f>
        <v>7</v>
      </c>
      <c r="Y21" s="35" t="n">
        <f aca="false">'Echuca Games For'!Y21-'Echuca Games Against'!Y21</f>
        <v>10</v>
      </c>
      <c r="Z21" s="35" t="n">
        <f aca="false">'Echuca Games For'!Z21-'Echuca Games Against'!Z21</f>
        <v>5</v>
      </c>
      <c r="AA21" s="35" t="n">
        <f aca="false">'Echuca Games For'!AA21-'Echuca Games Against'!AA21</f>
        <v>24</v>
      </c>
      <c r="AB21" s="35" t="n">
        <f aca="false">'Echuca Games For'!AB21-'Echuca Games Against'!AB21</f>
        <v>-3</v>
      </c>
      <c r="AC21" s="35" t="n">
        <f aca="false">'Echuca Games For'!AC21-'Echuca Games Against'!AC21</f>
        <v>1</v>
      </c>
      <c r="AD21" s="35" t="n">
        <f aca="false">'Echuca Games For'!AD21-'Echuca Games Against'!AD21</f>
        <v>2</v>
      </c>
      <c r="AE21" s="35" t="n">
        <f aca="false">'Echuca Games For'!AE21-'Echuca Games Against'!AE21</f>
        <v>2</v>
      </c>
      <c r="AF21" s="35" t="n">
        <f aca="false">'Echuca Games For'!AF21-'Echuca Games Against'!AF21</f>
        <v>9</v>
      </c>
      <c r="AG21" s="35" t="n">
        <f aca="false">'Echuca Games For'!AG21-'Echuca Games Against'!AG21</f>
        <v>-1</v>
      </c>
      <c r="AH21" s="35" t="n">
        <f aca="false">'Echuca Games For'!AH21-'Echuca Games Against'!AH21</f>
        <v>-3</v>
      </c>
      <c r="AI21" s="35" t="n">
        <f aca="false">'Echuca Games For'!AI21-'Echuca Games Against'!AI21</f>
        <v>13</v>
      </c>
      <c r="AJ21" s="35" t="n">
        <f aca="false">'Echuca Games For'!AJ21-'Echuca Games Against'!AJ21</f>
        <v>8</v>
      </c>
      <c r="AK21" s="35" t="n">
        <f aca="false">'Echuca Games For'!AK21-'Echuca Games Against'!AK21</f>
        <v>5</v>
      </c>
      <c r="AL21" s="35" t="n">
        <f aca="false">'Echuca Games For'!AL21-'Echuca Games Against'!AL21</f>
        <v>-6</v>
      </c>
      <c r="AM21" s="35" t="n">
        <f aca="false">'Echuca Games For'!AM21-'Echuca Games Against'!AM21</f>
        <v>3</v>
      </c>
      <c r="AN21" s="35" t="n">
        <f aca="false">'Echuca Games For'!AN21-'Echuca Games Against'!AN21</f>
        <v>0</v>
      </c>
      <c r="AO21" s="35" t="n">
        <f aca="false">'Echuca Games For'!AO21-'Echuca Games Against'!AO21</f>
        <v>3</v>
      </c>
      <c r="AP21" s="35" t="n">
        <f aca="false">'Echuca Games For'!AP21-'Echuca Games Against'!AP21</f>
        <v>6</v>
      </c>
      <c r="AQ21" s="35" t="n">
        <f aca="false">'Echuca Games For'!AQ21-'Echuca Games Against'!AQ21</f>
        <v>11</v>
      </c>
      <c r="AR21" s="35" t="n">
        <f aca="false">'Echuca Games For'!AR21-'Echuca Games Against'!AR21</f>
        <v>3</v>
      </c>
      <c r="AS21" s="35" t="n">
        <f aca="false">'Echuca Games For'!AS21-'Echuca Games Against'!AS21</f>
        <v>2</v>
      </c>
      <c r="AT21" s="35" t="n">
        <f aca="false">'Echuca Games For'!AT21-'Echuca Games Against'!AT21</f>
        <v>1</v>
      </c>
      <c r="AU21" s="35" t="n">
        <f aca="false">'Echuca Games For'!AU21-'Echuca Games Against'!AU21</f>
        <v>17</v>
      </c>
      <c r="AV21" s="35" t="n">
        <f aca="false">'Echuca Games For'!AV21-'Echuca Games Against'!AV21</f>
        <v>-2</v>
      </c>
      <c r="AW21" s="35" t="n">
        <f aca="false">'Echuca Games For'!AW21-'Echuca Games Against'!AW21</f>
        <v>0</v>
      </c>
      <c r="AX21" s="35" t="n">
        <f aca="false">'Echuca Games For'!AX21-'Echuca Games Against'!AX21</f>
        <v>3</v>
      </c>
      <c r="AY21" s="35" t="n">
        <f aca="false">'Echuca Games For'!AY21-'Echuca Games Against'!AY21</f>
        <v>15</v>
      </c>
      <c r="AZ21" s="35" t="n">
        <f aca="false">'Echuca Games For'!AZ21-'Echuca Games Against'!AZ21</f>
        <v>28</v>
      </c>
      <c r="BA21" s="35" t="n">
        <f aca="false">'Echuca Games For'!BA21-'Echuca Games Against'!BA21</f>
        <v>10</v>
      </c>
      <c r="BB21" s="35" t="n">
        <f aca="false">'Echuca Games For'!BB21-'Echuca Games Against'!BB21</f>
        <v>16</v>
      </c>
      <c r="BC21" s="35" t="n">
        <f aca="false">'Echuca Games For'!BC21-'Echuca Games Against'!BC21</f>
        <v>9</v>
      </c>
      <c r="BD21" s="35" t="n">
        <f aca="false">'Echuca Games For'!BD21-'Echuca Games Against'!BD21</f>
        <v>12</v>
      </c>
      <c r="BE21" s="35" t="n">
        <f aca="false">'Echuca Games For'!BE21-'Echuca Games Against'!BE21</f>
        <v>16</v>
      </c>
      <c r="BF21" s="35" t="n">
        <f aca="false">'Echuca Games For'!BF21-'Echuca Games Against'!BF21</f>
        <v>25</v>
      </c>
      <c r="BG21" s="35" t="n">
        <f aca="false">'Echuca Games For'!BG21-'Echuca Games Against'!BG21</f>
        <v>-16</v>
      </c>
      <c r="BH21" s="35" t="n">
        <f aca="false">'Echuca Games For'!BH21-'Echuca Games Against'!BH21</f>
        <v>49</v>
      </c>
      <c r="BI21" s="35" t="n">
        <f aca="false">'Echuca Games For'!BI21-'Echuca Games Against'!BI21</f>
        <v>65</v>
      </c>
      <c r="BJ21" s="35" t="n">
        <f aca="false">'Echuca Games For'!BJ21-'Echuca Games Against'!BJ21</f>
        <v>114</v>
      </c>
      <c r="BK21" s="35" t="n">
        <f aca="false">'Echuca Games For'!BK21-'Echuca Games Against'!BK21</f>
        <v>23</v>
      </c>
      <c r="BL21" s="35" t="n">
        <f aca="false">'Echuca Games For'!BL21-'Echuca Games Against'!BL21</f>
        <v>6</v>
      </c>
    </row>
    <row r="22" customFormat="false" ht="15" hidden="false" customHeight="false" outlineLevel="0" collapsed="false">
      <c r="A22" s="12" t="str">
        <f aca="false">'Echuca Games For'!A22</f>
        <v>Mooroopna</v>
      </c>
      <c r="B22" s="34" t="n">
        <f aca="false">'Echuca Games For'!B22</f>
        <v>18</v>
      </c>
      <c r="C22" s="12" t="str">
        <f aca="false">'Echuca Games For'!C22</f>
        <v>Home &amp; away</v>
      </c>
      <c r="D22" s="12" t="str">
        <f aca="false">'Echuca Games For'!D22</f>
        <v>W</v>
      </c>
      <c r="E22" s="35" t="n">
        <f aca="false">'Echuca Games For'!E22-'Echuca Games Against'!E22</f>
        <v>23</v>
      </c>
      <c r="F22" s="35" t="n">
        <f aca="false">'Echuca Games For'!F22-'Echuca Games Against'!F22</f>
        <v>45</v>
      </c>
      <c r="G22" s="35" t="n">
        <f aca="false">'Echuca Games For'!G22-'Echuca Games Against'!G22</f>
        <v>-22</v>
      </c>
      <c r="H22" s="35" t="n">
        <f aca="false">'Echuca Games For'!H22-'Echuca Games Against'!H22</f>
        <v>8</v>
      </c>
      <c r="I22" s="35" t="n">
        <f aca="false">'Echuca Games For'!I22-'Echuca Games Against'!I22</f>
        <v>-3</v>
      </c>
      <c r="J22" s="35" t="n">
        <f aca="false">'Echuca Games For'!J22-'Echuca Games Against'!J22</f>
        <v>0</v>
      </c>
      <c r="K22" s="35" t="n">
        <f aca="false">'Echuca Games For'!K22-'Echuca Games Against'!K22</f>
        <v>-3</v>
      </c>
      <c r="L22" s="35" t="n">
        <f aca="false">'Echuca Games For'!L22-'Echuca Games Against'!L22</f>
        <v>11</v>
      </c>
      <c r="M22" s="35" t="n">
        <f aca="false">'Echuca Games For'!M22-'Echuca Games Against'!M22</f>
        <v>-15</v>
      </c>
      <c r="N22" s="35" t="n">
        <f aca="false">'Echuca Games For'!N22-'Echuca Games Against'!N22</f>
        <v>6</v>
      </c>
      <c r="O22" s="35" t="n">
        <f aca="false">'Echuca Games For'!O22-'Echuca Games Against'!O22</f>
        <v>68</v>
      </c>
      <c r="P22" s="35" t="n">
        <f aca="false">'Echuca Games For'!P22-'Echuca Games Against'!P22</f>
        <v>20</v>
      </c>
      <c r="Q22" s="35" t="n">
        <f aca="false">'Echuca Games For'!Q22-'Echuca Games Against'!Q22</f>
        <v>48</v>
      </c>
      <c r="R22" s="35" t="n">
        <f aca="false">'Echuca Games For'!R22-'Echuca Games Against'!R22</f>
        <v>9</v>
      </c>
      <c r="S22" s="35" t="n">
        <f aca="false">'Echuca Games For'!S22-'Echuca Games Against'!S22</f>
        <v>18</v>
      </c>
      <c r="T22" s="35" t="n">
        <f aca="false">'Echuca Games For'!T22-'Echuca Games Against'!T22</f>
        <v>365</v>
      </c>
      <c r="U22" s="35" t="n">
        <f aca="false">'Echuca Games For'!U22-'Echuca Games Against'!U22</f>
        <v>-7</v>
      </c>
      <c r="V22" s="35" t="n">
        <f aca="false">'Echuca Games For'!V22-'Echuca Games Against'!V22</f>
        <v>-7</v>
      </c>
      <c r="W22" s="35" t="n">
        <f aca="false">'Echuca Games For'!W22-'Echuca Games Against'!W22</f>
        <v>-16</v>
      </c>
      <c r="X22" s="35" t="n">
        <f aca="false">'Echuca Games For'!X22-'Echuca Games Against'!X22</f>
        <v>-8</v>
      </c>
      <c r="Y22" s="35" t="n">
        <f aca="false">'Echuca Games For'!Y22-'Echuca Games Against'!Y22</f>
        <v>-3</v>
      </c>
      <c r="Z22" s="35" t="n">
        <f aca="false">'Echuca Games For'!Z22-'Echuca Games Against'!Z22</f>
        <v>-5</v>
      </c>
      <c r="AA22" s="35" t="n">
        <f aca="false">'Echuca Games For'!AA22-'Echuca Games Against'!AA22</f>
        <v>14</v>
      </c>
      <c r="AB22" s="35" t="n">
        <f aca="false">'Echuca Games For'!AB22-'Echuca Games Against'!AB22</f>
        <v>-11</v>
      </c>
      <c r="AC22" s="35" t="n">
        <f aca="false">'Echuca Games For'!AC22-'Echuca Games Against'!AC22</f>
        <v>-2</v>
      </c>
      <c r="AD22" s="35" t="n">
        <f aca="false">'Echuca Games For'!AD22-'Echuca Games Against'!AD22</f>
        <v>0</v>
      </c>
      <c r="AE22" s="35" t="n">
        <f aca="false">'Echuca Games For'!AE22-'Echuca Games Against'!AE22</f>
        <v>-20</v>
      </c>
      <c r="AF22" s="35" t="n">
        <f aca="false">'Echuca Games For'!AF22-'Echuca Games Against'!AF22</f>
        <v>-12</v>
      </c>
      <c r="AG22" s="35" t="n">
        <f aca="false">'Echuca Games For'!AG22-'Echuca Games Against'!AG22</f>
        <v>-5</v>
      </c>
      <c r="AH22" s="35" t="n">
        <f aca="false">'Echuca Games For'!AH22-'Echuca Games Against'!AH22</f>
        <v>-17</v>
      </c>
      <c r="AI22" s="35" t="n">
        <f aca="false">'Echuca Games For'!AI22-'Echuca Games Against'!AI22</f>
        <v>10</v>
      </c>
      <c r="AJ22" s="35" t="n">
        <f aca="false">'Echuca Games For'!AJ22-'Echuca Games Against'!AJ22</f>
        <v>4</v>
      </c>
      <c r="AK22" s="35" t="n">
        <f aca="false">'Echuca Games For'!AK22-'Echuca Games Against'!AK22</f>
        <v>-1</v>
      </c>
      <c r="AL22" s="35" t="n">
        <f aca="false">'Echuca Games For'!AL22-'Echuca Games Against'!AL22</f>
        <v>-4</v>
      </c>
      <c r="AM22" s="35" t="n">
        <f aca="false">'Echuca Games For'!AM22-'Echuca Games Against'!AM22</f>
        <v>0</v>
      </c>
      <c r="AN22" s="35" t="n">
        <f aca="false">'Echuca Games For'!AN22-'Echuca Games Against'!AN22</f>
        <v>-13</v>
      </c>
      <c r="AO22" s="35" t="n">
        <f aca="false">'Echuca Games For'!AO22-'Echuca Games Against'!AO22</f>
        <v>-3</v>
      </c>
      <c r="AP22" s="35" t="n">
        <f aca="false">'Echuca Games For'!AP22-'Echuca Games Against'!AP22</f>
        <v>9</v>
      </c>
      <c r="AQ22" s="35" t="n">
        <f aca="false">'Echuca Games For'!AQ22-'Echuca Games Against'!AQ22</f>
        <v>13</v>
      </c>
      <c r="AR22" s="35" t="n">
        <f aca="false">'Echuca Games For'!AR22-'Echuca Games Against'!AR22</f>
        <v>0</v>
      </c>
      <c r="AS22" s="35" t="n">
        <f aca="false">'Echuca Games For'!AS22-'Echuca Games Against'!AS22</f>
        <v>0</v>
      </c>
      <c r="AT22" s="35" t="n">
        <f aca="false">'Echuca Games For'!AT22-'Echuca Games Against'!AT22</f>
        <v>9</v>
      </c>
      <c r="AU22" s="35" t="n">
        <f aca="false">'Echuca Games For'!AU22-'Echuca Games Against'!AU22</f>
        <v>6</v>
      </c>
      <c r="AV22" s="35" t="n">
        <f aca="false">'Echuca Games For'!AV22-'Echuca Games Against'!AV22</f>
        <v>1</v>
      </c>
      <c r="AW22" s="35" t="n">
        <f aca="false">'Echuca Games For'!AW22-'Echuca Games Against'!AW22</f>
        <v>-1</v>
      </c>
      <c r="AX22" s="35" t="n">
        <f aca="false">'Echuca Games For'!AX22-'Echuca Games Against'!AX22</f>
        <v>-1</v>
      </c>
      <c r="AY22" s="35" t="n">
        <f aca="false">'Echuca Games For'!AY22-'Echuca Games Against'!AY22</f>
        <v>6</v>
      </c>
      <c r="AZ22" s="35" t="n">
        <f aca="false">'Echuca Games For'!AZ22-'Echuca Games Against'!AZ22</f>
        <v>17</v>
      </c>
      <c r="BA22" s="35" t="n">
        <f aca="false">'Echuca Games For'!BA22-'Echuca Games Against'!BA22</f>
        <v>7</v>
      </c>
      <c r="BB22" s="35" t="n">
        <f aca="false">'Echuca Games For'!BB22-'Echuca Games Against'!BB22</f>
        <v>12</v>
      </c>
      <c r="BC22" s="35" t="n">
        <f aca="false">'Echuca Games For'!BC22-'Echuca Games Against'!BC22</f>
        <v>19</v>
      </c>
      <c r="BD22" s="35" t="n">
        <f aca="false">'Echuca Games For'!BD22-'Echuca Games Against'!BD22</f>
        <v>-8</v>
      </c>
      <c r="BE22" s="35" t="n">
        <f aca="false">'Echuca Games For'!BE22-'Echuca Games Against'!BE22</f>
        <v>-4</v>
      </c>
      <c r="BF22" s="35" t="n">
        <f aca="false">'Echuca Games For'!BF22-'Echuca Games Against'!BF22</f>
        <v>13</v>
      </c>
      <c r="BG22" s="35" t="n">
        <f aca="false">'Echuca Games For'!BG22-'Echuca Games Against'!BG22</f>
        <v>25</v>
      </c>
      <c r="BH22" s="35" t="n">
        <f aca="false">'Echuca Games For'!BH22-'Echuca Games Against'!BH22</f>
        <v>69</v>
      </c>
      <c r="BI22" s="35" t="n">
        <f aca="false">'Echuca Games For'!BI22-'Echuca Games Against'!BI22</f>
        <v>-28</v>
      </c>
      <c r="BJ22" s="35" t="n">
        <f aca="false">'Echuca Games For'!BJ22-'Echuca Games Against'!BJ22</f>
        <v>41</v>
      </c>
      <c r="BK22" s="35" t="n">
        <f aca="false">'Echuca Games For'!BK22-'Echuca Games Against'!BK22</f>
        <v>-13</v>
      </c>
      <c r="BL22" s="35" t="n">
        <f aca="false">'Echuca Games For'!BL22-'Echuca Games Against'!BL22</f>
        <v>-3</v>
      </c>
    </row>
    <row r="23" customFormat="false" ht="15" hidden="false" customHeight="false" outlineLevel="0" collapsed="false">
      <c r="A23" s="12" t="str">
        <f aca="false">'Echuca Games For'!A23</f>
        <v>Shepparton Bears</v>
      </c>
      <c r="B23" s="12" t="str">
        <f aca="false">'Echuca Games For'!B23</f>
        <v>FW1</v>
      </c>
      <c r="C23" s="12" t="str">
        <f aca="false">'Echuca Games For'!C23</f>
        <v>Finals</v>
      </c>
      <c r="D23" s="12" t="str">
        <f aca="false">'Echuca Games For'!D23</f>
        <v>W</v>
      </c>
      <c r="E23" s="35" t="n">
        <f aca="false">'Echuca Games For'!E23-'Echuca Games Against'!E23</f>
        <v>46</v>
      </c>
      <c r="F23" s="35" t="n">
        <f aca="false">'Echuca Games For'!F23-'Echuca Games Against'!F23</f>
        <v>37</v>
      </c>
      <c r="G23" s="35" t="n">
        <f aca="false">'Echuca Games For'!G23-'Echuca Games Against'!G23</f>
        <v>9</v>
      </c>
      <c r="H23" s="35" t="n">
        <f aca="false">'Echuca Games For'!H23-'Echuca Games Against'!H23</f>
        <v>12</v>
      </c>
      <c r="I23" s="35" t="n">
        <f aca="false">'Echuca Games For'!I23-'Echuca Games Against'!I23</f>
        <v>15</v>
      </c>
      <c r="J23" s="35" t="n">
        <f aca="false">'Echuca Games For'!J23-'Echuca Games Against'!J23</f>
        <v>7</v>
      </c>
      <c r="K23" s="35" t="n">
        <f aca="false">'Echuca Games For'!K23-'Echuca Games Against'!K23</f>
        <v>8</v>
      </c>
      <c r="L23" s="35" t="n">
        <f aca="false">'Echuca Games For'!L23-'Echuca Games Against'!L23</f>
        <v>0</v>
      </c>
      <c r="M23" s="35" t="n">
        <f aca="false">'Echuca Games For'!M23-'Echuca Games Against'!M23</f>
        <v>-17</v>
      </c>
      <c r="N23" s="35" t="n">
        <f aca="false">'Echuca Games For'!N23-'Echuca Games Against'!N23</f>
        <v>3</v>
      </c>
      <c r="O23" s="35" t="n">
        <f aca="false">'Echuca Games For'!O23-'Echuca Games Against'!O23</f>
        <v>27</v>
      </c>
      <c r="P23" s="35" t="n">
        <f aca="false">'Echuca Games For'!P23-'Echuca Games Against'!P23</f>
        <v>2</v>
      </c>
      <c r="Q23" s="35" t="n">
        <f aca="false">'Echuca Games For'!Q23-'Echuca Games Against'!Q23</f>
        <v>25</v>
      </c>
      <c r="R23" s="35" t="n">
        <f aca="false">'Echuca Games For'!R23-'Echuca Games Against'!R23</f>
        <v>0</v>
      </c>
      <c r="S23" s="35" t="n">
        <f aca="false">'Echuca Games For'!S23-'Echuca Games Against'!S23</f>
        <v>-3</v>
      </c>
      <c r="T23" s="35" t="n">
        <f aca="false">'Echuca Games For'!T23-'Echuca Games Against'!T23</f>
        <v>220</v>
      </c>
      <c r="U23" s="35" t="n">
        <f aca="false">'Echuca Games For'!U23-'Echuca Games Against'!U23</f>
        <v>-42</v>
      </c>
      <c r="V23" s="35" t="n">
        <f aca="false">'Echuca Games For'!V23-'Echuca Games Against'!V23</f>
        <v>-13</v>
      </c>
      <c r="W23" s="35" t="n">
        <f aca="false">'Echuca Games For'!W23-'Echuca Games Against'!W23</f>
        <v>0</v>
      </c>
      <c r="X23" s="35" t="n">
        <f aca="false">'Echuca Games For'!X23-'Echuca Games Against'!X23</f>
        <v>-2</v>
      </c>
      <c r="Y23" s="35" t="n">
        <f aca="false">'Echuca Games For'!Y23-'Echuca Games Against'!Y23</f>
        <v>1</v>
      </c>
      <c r="Z23" s="35" t="n">
        <f aca="false">'Echuca Games For'!Z23-'Echuca Games Against'!Z23</f>
        <v>1</v>
      </c>
      <c r="AA23" s="35" t="n">
        <f aca="false">'Echuca Games For'!AA23-'Echuca Games Against'!AA23</f>
        <v>1</v>
      </c>
      <c r="AB23" s="35" t="n">
        <f aca="false">'Echuca Games For'!AB23-'Echuca Games Against'!AB23</f>
        <v>3</v>
      </c>
      <c r="AC23" s="35" t="n">
        <f aca="false">'Echuca Games For'!AC23-'Echuca Games Against'!AC23</f>
        <v>5</v>
      </c>
      <c r="AD23" s="35" t="n">
        <f aca="false">'Echuca Games For'!AD23-'Echuca Games Against'!AD23</f>
        <v>0</v>
      </c>
      <c r="AE23" s="35" t="n">
        <f aca="false">'Echuca Games For'!AE23-'Echuca Games Against'!AE23</f>
        <v>1</v>
      </c>
      <c r="AF23" s="35" t="n">
        <f aca="false">'Echuca Games For'!AF23-'Echuca Games Against'!AF23</f>
        <v>-1</v>
      </c>
      <c r="AG23" s="35" t="n">
        <f aca="false">'Echuca Games For'!AG23-'Echuca Games Against'!AG23</f>
        <v>-1</v>
      </c>
      <c r="AH23" s="35" t="n">
        <f aca="false">'Echuca Games For'!AH23-'Echuca Games Against'!AH23</f>
        <v>7</v>
      </c>
      <c r="AI23" s="35" t="n">
        <f aca="false">'Echuca Games For'!AI23-'Echuca Games Against'!AI23</f>
        <v>-7</v>
      </c>
      <c r="AJ23" s="35" t="n">
        <f aca="false">'Echuca Games For'!AJ23-'Echuca Games Against'!AJ23</f>
        <v>9</v>
      </c>
      <c r="AK23" s="35" t="n">
        <f aca="false">'Echuca Games For'!AK23-'Echuca Games Against'!AK23</f>
        <v>-10</v>
      </c>
      <c r="AL23" s="35" t="n">
        <f aca="false">'Echuca Games For'!AL23-'Echuca Games Against'!AL23</f>
        <v>5</v>
      </c>
      <c r="AM23" s="35" t="n">
        <f aca="false">'Echuca Games For'!AM23-'Echuca Games Against'!AM23</f>
        <v>2</v>
      </c>
      <c r="AN23" s="35" t="n">
        <f aca="false">'Echuca Games For'!AN23-'Echuca Games Against'!AN23</f>
        <v>-18</v>
      </c>
      <c r="AO23" s="35" t="n">
        <f aca="false">'Echuca Games For'!AO23-'Echuca Games Against'!AO23</f>
        <v>-7</v>
      </c>
      <c r="AP23" s="35" t="n">
        <f aca="false">'Echuca Games For'!AP23-'Echuca Games Against'!AP23</f>
        <v>12</v>
      </c>
      <c r="AQ23" s="35" t="n">
        <f aca="false">'Echuca Games For'!AQ23-'Echuca Games Against'!AQ23</f>
        <v>13</v>
      </c>
      <c r="AR23" s="35" t="n">
        <f aca="false">'Echuca Games For'!AR23-'Echuca Games Against'!AR23</f>
        <v>-2</v>
      </c>
      <c r="AS23" s="35" t="n">
        <f aca="false">'Echuca Games For'!AS23-'Echuca Games Against'!AS23</f>
        <v>12</v>
      </c>
      <c r="AT23" s="35" t="n">
        <f aca="false">'Echuca Games For'!AT23-'Echuca Games Against'!AT23</f>
        <v>2</v>
      </c>
      <c r="AU23" s="35" t="n">
        <f aca="false">'Echuca Games For'!AU23-'Echuca Games Against'!AU23</f>
        <v>5</v>
      </c>
      <c r="AV23" s="35" t="n">
        <f aca="false">'Echuca Games For'!AV23-'Echuca Games Against'!AV23</f>
        <v>-2</v>
      </c>
      <c r="AW23" s="35" t="n">
        <f aca="false">'Echuca Games For'!AW23-'Echuca Games Against'!AW23</f>
        <v>2</v>
      </c>
      <c r="AX23" s="35" t="n">
        <f aca="false">'Echuca Games For'!AX23-'Echuca Games Against'!AX23</f>
        <v>8</v>
      </c>
      <c r="AY23" s="35" t="n">
        <f aca="false">'Echuca Games For'!AY23-'Echuca Games Against'!AY23</f>
        <v>5</v>
      </c>
      <c r="AZ23" s="35" t="n">
        <f aca="false">'Echuca Games For'!AZ23-'Echuca Games Against'!AZ23</f>
        <v>8</v>
      </c>
      <c r="BA23" s="35" t="n">
        <f aca="false">'Echuca Games For'!BA23-'Echuca Games Against'!BA23</f>
        <v>5</v>
      </c>
      <c r="BB23" s="35" t="n">
        <f aca="false">'Echuca Games For'!BB23-'Echuca Games Against'!BB23</f>
        <v>8</v>
      </c>
      <c r="BC23" s="35" t="n">
        <f aca="false">'Echuca Games For'!BC23-'Echuca Games Against'!BC23</f>
        <v>7</v>
      </c>
      <c r="BD23" s="35" t="n">
        <f aca="false">'Echuca Games For'!BD23-'Echuca Games Against'!BD23</f>
        <v>4</v>
      </c>
      <c r="BE23" s="35" t="n">
        <f aca="false">'Echuca Games For'!BE23-'Echuca Games Against'!BE23</f>
        <v>-6</v>
      </c>
      <c r="BF23" s="35" t="n">
        <f aca="false">'Echuca Games For'!BF23-'Echuca Games Against'!BF23</f>
        <v>1</v>
      </c>
      <c r="BG23" s="35" t="n">
        <f aca="false">'Echuca Games For'!BG23-'Echuca Games Against'!BG23</f>
        <v>0</v>
      </c>
      <c r="BH23" s="35" t="n">
        <f aca="false">'Echuca Games For'!BH23-'Echuca Games Against'!BH23</f>
        <v>36</v>
      </c>
      <c r="BI23" s="35" t="n">
        <f aca="false">'Echuca Games For'!BI23-'Echuca Games Against'!BI23</f>
        <v>13</v>
      </c>
      <c r="BJ23" s="35" t="n">
        <f aca="false">'Echuca Games For'!BJ23-'Echuca Games Against'!BJ23</f>
        <v>49</v>
      </c>
      <c r="BK23" s="35" t="n">
        <f aca="false">'Echuca Games For'!BK23-'Echuca Games Against'!BK23</f>
        <v>-3</v>
      </c>
      <c r="BL23" s="35" t="n">
        <f aca="false">'Echuca Games For'!BL23-'Echuca Games Against'!BL23</f>
        <v>2</v>
      </c>
    </row>
    <row r="24" customFormat="false" ht="15" hidden="false" customHeight="false" outlineLevel="0" collapsed="false">
      <c r="A24" s="12" t="str">
        <f aca="false">'Echuca Games For'!A24</f>
        <v>Kyabram</v>
      </c>
      <c r="B24" s="12" t="str">
        <f aca="false">'Echuca Games For'!B24</f>
        <v>FW2</v>
      </c>
      <c r="C24" s="12" t="str">
        <f aca="false">'Echuca Games For'!C24</f>
        <v>Finals</v>
      </c>
      <c r="D24" s="12" t="str">
        <f aca="false">'Echuca Games For'!D24</f>
        <v>W</v>
      </c>
      <c r="E24" s="35" t="n">
        <f aca="false">'Echuca Games For'!E24-'Echuca Games Against'!E24</f>
        <v>11</v>
      </c>
      <c r="F24" s="35" t="n">
        <f aca="false">'Echuca Games For'!F24-'Echuca Games Against'!F24</f>
        <v>3</v>
      </c>
      <c r="G24" s="35" t="n">
        <f aca="false">'Echuca Games For'!G24-'Echuca Games Against'!G24</f>
        <v>8</v>
      </c>
      <c r="H24" s="35" t="n">
        <f aca="false">'Echuca Games For'!H24-'Echuca Games Against'!H24</f>
        <v>13</v>
      </c>
      <c r="I24" s="35" t="n">
        <f aca="false">'Echuca Games For'!I24-'Echuca Games Against'!I24</f>
        <v>12</v>
      </c>
      <c r="J24" s="35" t="n">
        <f aca="false">'Echuca Games For'!J24-'Echuca Games Against'!J24</f>
        <v>12</v>
      </c>
      <c r="K24" s="35" t="n">
        <f aca="false">'Echuca Games For'!K24-'Echuca Games Against'!K24</f>
        <v>0</v>
      </c>
      <c r="L24" s="35" t="n">
        <f aca="false">'Echuca Games For'!L24-'Echuca Games Against'!L24</f>
        <v>11</v>
      </c>
      <c r="M24" s="35" t="n">
        <f aca="false">'Echuca Games For'!M24-'Echuca Games Against'!M24</f>
        <v>-3</v>
      </c>
      <c r="N24" s="35" t="n">
        <f aca="false">'Echuca Games For'!N24-'Echuca Games Against'!N24</f>
        <v>-5</v>
      </c>
      <c r="O24" s="35" t="n">
        <f aca="false">'Echuca Games For'!O24-'Echuca Games Against'!O24</f>
        <v>8</v>
      </c>
      <c r="P24" s="35" t="n">
        <f aca="false">'Echuca Games For'!P24-'Echuca Games Against'!P24</f>
        <v>7</v>
      </c>
      <c r="Q24" s="35" t="n">
        <f aca="false">'Echuca Games For'!Q24-'Echuca Games Against'!Q24</f>
        <v>1</v>
      </c>
      <c r="R24" s="35" t="n">
        <f aca="false">'Echuca Games For'!R24-'Echuca Games Against'!R24</f>
        <v>7</v>
      </c>
      <c r="S24" s="35" t="n">
        <f aca="false">'Echuca Games For'!S24-'Echuca Games Against'!S24</f>
        <v>4</v>
      </c>
      <c r="T24" s="35" t="n">
        <f aca="false">'Echuca Games For'!T24-'Echuca Games Against'!T24</f>
        <v>232</v>
      </c>
      <c r="U24" s="35" t="n">
        <f aca="false">'Echuca Games For'!U24-'Echuca Games Against'!U24</f>
        <v>6</v>
      </c>
      <c r="V24" s="35" t="n">
        <f aca="false">'Echuca Games For'!V24-'Echuca Games Against'!V24</f>
        <v>-6</v>
      </c>
      <c r="W24" s="35" t="n">
        <f aca="false">'Echuca Games For'!W24-'Echuca Games Against'!W24</f>
        <v>-8</v>
      </c>
      <c r="X24" s="35" t="n">
        <f aca="false">'Echuca Games For'!X24-'Echuca Games Against'!X24</f>
        <v>-3</v>
      </c>
      <c r="Y24" s="35" t="n">
        <f aca="false">'Echuca Games For'!Y24-'Echuca Games Against'!Y24</f>
        <v>-2</v>
      </c>
      <c r="Z24" s="35" t="n">
        <f aca="false">'Echuca Games For'!Z24-'Echuca Games Against'!Z24</f>
        <v>-3</v>
      </c>
      <c r="AA24" s="35" t="n">
        <f aca="false">'Echuca Games For'!AA24-'Echuca Games Against'!AA24</f>
        <v>4</v>
      </c>
      <c r="AB24" s="35" t="n">
        <f aca="false">'Echuca Games For'!AB24-'Echuca Games Against'!AB24</f>
        <v>4</v>
      </c>
      <c r="AC24" s="35" t="n">
        <f aca="false">'Echuca Games For'!AC24-'Echuca Games Against'!AC24</f>
        <v>-1</v>
      </c>
      <c r="AD24" s="35" t="n">
        <f aca="false">'Echuca Games For'!AD24-'Echuca Games Against'!AD24</f>
        <v>-3</v>
      </c>
      <c r="AE24" s="35" t="n">
        <f aca="false">'Echuca Games For'!AE24-'Echuca Games Against'!AE24</f>
        <v>-11</v>
      </c>
      <c r="AF24" s="35" t="n">
        <f aca="false">'Echuca Games For'!AF24-'Echuca Games Against'!AF24</f>
        <v>-11</v>
      </c>
      <c r="AG24" s="35" t="n">
        <f aca="false">'Echuca Games For'!AG24-'Echuca Games Against'!AG24</f>
        <v>4</v>
      </c>
      <c r="AH24" s="35" t="n">
        <f aca="false">'Echuca Games For'!AH24-'Echuca Games Against'!AH24</f>
        <v>-1</v>
      </c>
      <c r="AI24" s="35" t="n">
        <f aca="false">'Echuca Games For'!AI24-'Echuca Games Against'!AI24</f>
        <v>-14</v>
      </c>
      <c r="AJ24" s="35" t="n">
        <f aca="false">'Echuca Games For'!AJ24-'Echuca Games Against'!AJ24</f>
        <v>6</v>
      </c>
      <c r="AK24" s="35" t="n">
        <f aca="false">'Echuca Games For'!AK24-'Echuca Games Against'!AK24</f>
        <v>-8</v>
      </c>
      <c r="AL24" s="35" t="n">
        <f aca="false">'Echuca Games For'!AL24-'Echuca Games Against'!AL24</f>
        <v>7</v>
      </c>
      <c r="AM24" s="35" t="n">
        <f aca="false">'Echuca Games For'!AM24-'Echuca Games Against'!AM24</f>
        <v>1</v>
      </c>
      <c r="AN24" s="35" t="n">
        <f aca="false">'Echuca Games For'!AN24-'Echuca Games Against'!AN24</f>
        <v>-12</v>
      </c>
      <c r="AO24" s="35" t="n">
        <f aca="false">'Echuca Games For'!AO24-'Echuca Games Against'!AO24</f>
        <v>2</v>
      </c>
      <c r="AP24" s="35" t="n">
        <f aca="false">'Echuca Games For'!AP24-'Echuca Games Against'!AP24</f>
        <v>6</v>
      </c>
      <c r="AQ24" s="35" t="n">
        <f aca="false">'Echuca Games For'!AQ24-'Echuca Games Against'!AQ24</f>
        <v>13</v>
      </c>
      <c r="AR24" s="35" t="n">
        <f aca="false">'Echuca Games For'!AR24-'Echuca Games Against'!AR24</f>
        <v>3</v>
      </c>
      <c r="AS24" s="35" t="n">
        <f aca="false">'Echuca Games For'!AS24-'Echuca Games Against'!AS24</f>
        <v>-1</v>
      </c>
      <c r="AT24" s="35" t="n">
        <f aca="false">'Echuca Games For'!AT24-'Echuca Games Against'!AT24</f>
        <v>4</v>
      </c>
      <c r="AU24" s="35" t="n">
        <f aca="false">'Echuca Games For'!AU24-'Echuca Games Against'!AU24</f>
        <v>11</v>
      </c>
      <c r="AV24" s="35" t="n">
        <f aca="false">'Echuca Games For'!AV24-'Echuca Games Against'!AV24</f>
        <v>1</v>
      </c>
      <c r="AW24" s="35" t="n">
        <f aca="false">'Echuca Games For'!AW24-'Echuca Games Against'!AW24</f>
        <v>1</v>
      </c>
      <c r="AX24" s="35" t="n">
        <f aca="false">'Echuca Games For'!AX24-'Echuca Games Against'!AX24</f>
        <v>21</v>
      </c>
      <c r="AY24" s="35" t="n">
        <f aca="false">'Echuca Games For'!AY24-'Echuca Games Against'!AY24</f>
        <v>13</v>
      </c>
      <c r="AZ24" s="35" t="n">
        <f aca="false">'Echuca Games For'!AZ24-'Echuca Games Against'!AZ24</f>
        <v>17</v>
      </c>
      <c r="BA24" s="35" t="n">
        <f aca="false">'Echuca Games For'!BA24-'Echuca Games Against'!BA24</f>
        <v>3</v>
      </c>
      <c r="BB24" s="35" t="n">
        <f aca="false">'Echuca Games For'!BB24-'Echuca Games Against'!BB24</f>
        <v>23</v>
      </c>
      <c r="BC24" s="35" t="n">
        <f aca="false">'Echuca Games For'!BC24-'Echuca Games Against'!BC24</f>
        <v>8</v>
      </c>
      <c r="BD24" s="35" t="n">
        <f aca="false">'Echuca Games For'!BD24-'Echuca Games Against'!BD24</f>
        <v>-3</v>
      </c>
      <c r="BE24" s="35" t="n">
        <f aca="false">'Echuca Games For'!BE24-'Echuca Games Against'!BE24</f>
        <v>5</v>
      </c>
      <c r="BF24" s="35" t="n">
        <f aca="false">'Echuca Games For'!BF24-'Echuca Games Against'!BF24</f>
        <v>18</v>
      </c>
      <c r="BG24" s="35" t="n">
        <f aca="false">'Echuca Games For'!BG24-'Echuca Games Against'!BG24</f>
        <v>31</v>
      </c>
      <c r="BH24" s="35" t="n">
        <f aca="false">'Echuca Games For'!BH24-'Echuca Games Against'!BH24</f>
        <v>20</v>
      </c>
      <c r="BI24" s="35" t="n">
        <f aca="false">'Echuca Games For'!BI24-'Echuca Games Against'!BI24</f>
        <v>2</v>
      </c>
      <c r="BJ24" s="35" t="n">
        <f aca="false">'Echuca Games For'!BJ24-'Echuca Games Against'!BJ24</f>
        <v>22</v>
      </c>
      <c r="BK24" s="35" t="n">
        <f aca="false">'Echuca Games For'!BK24-'Echuca Games Against'!BK24</f>
        <v>-3</v>
      </c>
      <c r="BL24" s="35" t="n">
        <f aca="false">'Echuca Games For'!BL24-'Echuca Games Against'!BL24</f>
        <v>10</v>
      </c>
    </row>
    <row r="25" customFormat="false" ht="15" hidden="false" customHeight="false" outlineLevel="0" collapsed="false">
      <c r="A25" s="12" t="str">
        <f aca="false">'Echuca Games For'!A25</f>
        <v>Shepparton Bears</v>
      </c>
      <c r="B25" s="12" t="str">
        <f aca="false">'Echuca Games For'!B25</f>
        <v>GF</v>
      </c>
      <c r="C25" s="12" t="str">
        <f aca="false">'Echuca Games For'!C25</f>
        <v>Finals</v>
      </c>
      <c r="D25" s="12" t="str">
        <f aca="false">'Echuca Games For'!D25</f>
        <v>W</v>
      </c>
      <c r="E25" s="35" t="n">
        <f aca="false">'Echuca Games For'!E25-'Echuca Games Against'!E25</f>
        <v>88</v>
      </c>
      <c r="F25" s="35" t="n">
        <f aca="false">'Echuca Games For'!F25-'Echuca Games Against'!F25</f>
        <v>34</v>
      </c>
      <c r="G25" s="35" t="n">
        <f aca="false">'Echuca Games For'!G25-'Echuca Games Against'!G25</f>
        <v>54</v>
      </c>
      <c r="H25" s="35" t="n">
        <f aca="false">'Echuca Games For'!H25-'Echuca Games Against'!H25</f>
        <v>8</v>
      </c>
      <c r="I25" s="35" t="n">
        <f aca="false">'Echuca Games For'!I25-'Echuca Games Against'!I25</f>
        <v>11</v>
      </c>
      <c r="J25" s="35" t="n">
        <f aca="false">'Echuca Games For'!J25-'Echuca Games Against'!J25</f>
        <v>4</v>
      </c>
      <c r="K25" s="35" t="n">
        <f aca="false">'Echuca Games For'!K25-'Echuca Games Against'!K25</f>
        <v>7</v>
      </c>
      <c r="L25" s="35" t="n">
        <f aca="false">'Echuca Games For'!L25-'Echuca Games Against'!L25</f>
        <v>5</v>
      </c>
      <c r="M25" s="35" t="n">
        <f aca="false">'Echuca Games For'!M25-'Echuca Games Against'!M25</f>
        <v>20</v>
      </c>
      <c r="N25" s="35" t="n">
        <f aca="false">'Echuca Games For'!N25-'Echuca Games Against'!N25</f>
        <v>0</v>
      </c>
      <c r="O25" s="35" t="n">
        <f aca="false">'Echuca Games For'!O25-'Echuca Games Against'!O25</f>
        <v>26</v>
      </c>
      <c r="P25" s="35" t="n">
        <f aca="false">'Echuca Games For'!P25-'Echuca Games Against'!P25</f>
        <v>1</v>
      </c>
      <c r="Q25" s="35" t="n">
        <f aca="false">'Echuca Games For'!Q25-'Echuca Games Against'!Q25</f>
        <v>25</v>
      </c>
      <c r="R25" s="35" t="n">
        <f aca="false">'Echuca Games For'!R25-'Echuca Games Against'!R25</f>
        <v>6</v>
      </c>
      <c r="S25" s="35" t="n">
        <f aca="false">'Echuca Games For'!S25-'Echuca Games Against'!S25</f>
        <v>13</v>
      </c>
      <c r="T25" s="35" t="n">
        <f aca="false">'Echuca Games For'!T25-'Echuca Games Against'!T25</f>
        <v>455</v>
      </c>
      <c r="U25" s="35" t="n">
        <f aca="false">'Echuca Games For'!U25-'Echuca Games Against'!U25</f>
        <v>-34</v>
      </c>
      <c r="V25" s="35" t="n">
        <f aca="false">'Echuca Games For'!V25-'Echuca Games Against'!V25</f>
        <v>-14</v>
      </c>
      <c r="W25" s="35" t="n">
        <f aca="false">'Echuca Games For'!W25-'Echuca Games Against'!W25</f>
        <v>13</v>
      </c>
      <c r="X25" s="35" t="n">
        <f aca="false">'Echuca Games For'!X25-'Echuca Games Against'!X25</f>
        <v>1</v>
      </c>
      <c r="Y25" s="35" t="n">
        <f aca="false">'Echuca Games For'!Y25-'Echuca Games Against'!Y25</f>
        <v>11</v>
      </c>
      <c r="Z25" s="35" t="n">
        <f aca="false">'Echuca Games For'!Z25-'Echuca Games Against'!Z25</f>
        <v>1</v>
      </c>
      <c r="AA25" s="35" t="n">
        <f aca="false">'Echuca Games For'!AA25-'Echuca Games Against'!AA25</f>
        <v>2</v>
      </c>
      <c r="AB25" s="35" t="n">
        <f aca="false">'Echuca Games For'!AB25-'Echuca Games Against'!AB25</f>
        <v>11</v>
      </c>
      <c r="AC25" s="35" t="n">
        <f aca="false">'Echuca Games For'!AC25-'Echuca Games Against'!AC25</f>
        <v>-8</v>
      </c>
      <c r="AD25" s="35" t="n">
        <f aca="false">'Echuca Games For'!AD25-'Echuca Games Against'!AD25</f>
        <v>-3</v>
      </c>
      <c r="AE25" s="35" t="n">
        <f aca="false">'Echuca Games For'!AE25-'Echuca Games Against'!AE25</f>
        <v>11</v>
      </c>
      <c r="AF25" s="35" t="n">
        <f aca="false">'Echuca Games For'!AF25-'Echuca Games Against'!AF25</f>
        <v>-10</v>
      </c>
      <c r="AG25" s="35" t="n">
        <f aca="false">'Echuca Games For'!AG25-'Echuca Games Against'!AG25</f>
        <v>-2</v>
      </c>
      <c r="AH25" s="35" t="n">
        <f aca="false">'Echuca Games For'!AH25-'Echuca Games Against'!AH25</f>
        <v>5</v>
      </c>
      <c r="AI25" s="35" t="n">
        <f aca="false">'Echuca Games For'!AI25-'Echuca Games Against'!AI25</f>
        <v>-13</v>
      </c>
      <c r="AJ25" s="35" t="n">
        <f aca="false">'Echuca Games For'!AJ25-'Echuca Games Against'!AJ25</f>
        <v>-10</v>
      </c>
      <c r="AK25" s="35" t="n">
        <f aca="false">'Echuca Games For'!AK25-'Echuca Games Against'!AK25</f>
        <v>-20</v>
      </c>
      <c r="AL25" s="35" t="n">
        <f aca="false">'Echuca Games For'!AL25-'Echuca Games Against'!AL25</f>
        <v>6</v>
      </c>
      <c r="AM25" s="35" t="n">
        <f aca="false">'Echuca Games For'!AM25-'Echuca Games Against'!AM25</f>
        <v>4</v>
      </c>
      <c r="AN25" s="35" t="n">
        <f aca="false">'Echuca Games For'!AN25-'Echuca Games Against'!AN25</f>
        <v>1</v>
      </c>
      <c r="AO25" s="35" t="n">
        <f aca="false">'Echuca Games For'!AO25-'Echuca Games Against'!AO25</f>
        <v>-8</v>
      </c>
      <c r="AP25" s="35" t="n">
        <f aca="false">'Echuca Games For'!AP25-'Echuca Games Against'!AP25</f>
        <v>0</v>
      </c>
      <c r="AQ25" s="35" t="n">
        <f aca="false">'Echuca Games For'!AQ25-'Echuca Games Against'!AQ25</f>
        <v>-6</v>
      </c>
      <c r="AR25" s="35" t="n">
        <f aca="false">'Echuca Games For'!AR25-'Echuca Games Against'!AR25</f>
        <v>-3</v>
      </c>
      <c r="AS25" s="35" t="n">
        <f aca="false">'Echuca Games For'!AS25-'Echuca Games Against'!AS25</f>
        <v>-3</v>
      </c>
      <c r="AT25" s="35" t="n">
        <f aca="false">'Echuca Games For'!AT25-'Echuca Games Against'!AT25</f>
        <v>6</v>
      </c>
      <c r="AU25" s="35" t="n">
        <f aca="false">'Echuca Games For'!AU25-'Echuca Games Against'!AU25</f>
        <v>13</v>
      </c>
      <c r="AV25" s="35" t="n">
        <f aca="false">'Echuca Games For'!AV25-'Echuca Games Against'!AV25</f>
        <v>9</v>
      </c>
      <c r="AW25" s="35" t="n">
        <f aca="false">'Echuca Games For'!AW25-'Echuca Games Against'!AW25</f>
        <v>-6</v>
      </c>
      <c r="AX25" s="35" t="n">
        <f aca="false">'Echuca Games For'!AX25-'Echuca Games Against'!AX25</f>
        <v>28</v>
      </c>
      <c r="AY25" s="35" t="n">
        <f aca="false">'Echuca Games For'!AY25-'Echuca Games Against'!AY25</f>
        <v>16</v>
      </c>
      <c r="AZ25" s="35" t="n">
        <f aca="false">'Echuca Games For'!AZ25-'Echuca Games Against'!AZ25</f>
        <v>18</v>
      </c>
      <c r="BA25" s="35" t="n">
        <f aca="false">'Echuca Games For'!BA25-'Echuca Games Against'!BA25</f>
        <v>10</v>
      </c>
      <c r="BB25" s="35" t="n">
        <f aca="false">'Echuca Games For'!BB25-'Echuca Games Against'!BB25</f>
        <v>32</v>
      </c>
      <c r="BC25" s="35" t="n">
        <f aca="false">'Echuca Games For'!BC25-'Echuca Games Against'!BC25</f>
        <v>14</v>
      </c>
      <c r="BD25" s="35" t="n">
        <f aca="false">'Echuca Games For'!BD25-'Echuca Games Against'!BD25</f>
        <v>0</v>
      </c>
      <c r="BE25" s="35" t="n">
        <f aca="false">'Echuca Games For'!BE25-'Echuca Games Against'!BE25</f>
        <v>23</v>
      </c>
      <c r="BF25" s="35" t="n">
        <f aca="false">'Echuca Games For'!BF25-'Echuca Games Against'!BF25</f>
        <v>20</v>
      </c>
      <c r="BG25" s="35" t="n">
        <f aca="false">'Echuca Games For'!BG25-'Echuca Games Against'!BG25</f>
        <v>12</v>
      </c>
      <c r="BH25" s="35" t="n">
        <f aca="false">'Echuca Games For'!BH25-'Echuca Games Against'!BH25</f>
        <v>49</v>
      </c>
      <c r="BI25" s="35" t="n">
        <f aca="false">'Echuca Games For'!BI25-'Echuca Games Against'!BI25</f>
        <v>41</v>
      </c>
      <c r="BJ25" s="35" t="n">
        <f aca="false">'Echuca Games For'!BJ25-'Echuca Games Against'!BJ25</f>
        <v>90</v>
      </c>
      <c r="BK25" s="35" t="n">
        <f aca="false">'Echuca Games For'!BK25-'Echuca Games Against'!BK25</f>
        <v>17</v>
      </c>
      <c r="BL25" s="35" t="n">
        <f aca="false">'Echuca Games For'!BL25-'Echuca Games Against'!BL25</f>
        <v>15</v>
      </c>
    </row>
  </sheetData>
  <conditionalFormatting sqref="E5:BL25">
    <cfRule type="cellIs" priority="2" operator="greaterThan" aboveAverage="0" equalAverage="0" bottom="0" percent="0" rank="0" text="" dxfId="42">
      <formula>0</formula>
    </cfRule>
    <cfRule type="cellIs" priority="3" operator="lessThan" aboveAverage="0" equalAverage="0" bottom="0" percent="0" rank="0" text="" dxfId="4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C5"/>
    <pageSetUpPr fitToPage="false"/>
  </sheetPr>
  <dimension ref="A1:A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8" t="s">
        <v>225</v>
      </c>
    </row>
    <row r="4" customFormat="false" ht="15" hidden="false" customHeight="false" outlineLevel="0" collapsed="false">
      <c r="D4" s="36" t="s">
        <v>226</v>
      </c>
      <c r="P4" s="36" t="s">
        <v>227</v>
      </c>
      <c r="AB4" s="36" t="s">
        <v>228</v>
      </c>
    </row>
    <row r="5" customFormat="false" ht="45" hidden="false" customHeight="true" outlineLevel="0" collapsed="false">
      <c r="A5" s="2" t="s">
        <v>167</v>
      </c>
      <c r="B5" s="2" t="s">
        <v>168</v>
      </c>
      <c r="C5" s="2" t="s">
        <v>169</v>
      </c>
      <c r="D5" s="2" t="s">
        <v>202</v>
      </c>
      <c r="E5" s="2" t="s">
        <v>186</v>
      </c>
      <c r="F5" s="2" t="s">
        <v>201</v>
      </c>
      <c r="G5" s="2" t="s">
        <v>193</v>
      </c>
      <c r="H5" s="2" t="s">
        <v>199</v>
      </c>
      <c r="I5" s="2" t="s">
        <v>198</v>
      </c>
      <c r="J5" s="2" t="s">
        <v>197</v>
      </c>
      <c r="K5" s="2" t="s">
        <v>196</v>
      </c>
      <c r="L5" s="2" t="s">
        <v>194</v>
      </c>
      <c r="M5" s="2" t="s">
        <v>200</v>
      </c>
      <c r="N5" s="2" t="s">
        <v>203</v>
      </c>
      <c r="O5" s="2"/>
      <c r="P5" s="2" t="s">
        <v>202</v>
      </c>
      <c r="Q5" s="2" t="s">
        <v>186</v>
      </c>
      <c r="R5" s="2" t="s">
        <v>201</v>
      </c>
      <c r="S5" s="2" t="s">
        <v>193</v>
      </c>
      <c r="T5" s="2" t="s">
        <v>199</v>
      </c>
      <c r="U5" s="2" t="s">
        <v>198</v>
      </c>
      <c r="V5" s="2" t="s">
        <v>197</v>
      </c>
      <c r="W5" s="2" t="s">
        <v>196</v>
      </c>
      <c r="X5" s="2" t="s">
        <v>194</v>
      </c>
      <c r="Y5" s="2" t="s">
        <v>200</v>
      </c>
      <c r="Z5" s="2" t="s">
        <v>203</v>
      </c>
      <c r="AA5" s="2"/>
      <c r="AB5" s="2" t="s">
        <v>202</v>
      </c>
      <c r="AC5" s="2" t="s">
        <v>186</v>
      </c>
      <c r="AD5" s="2" t="s">
        <v>201</v>
      </c>
      <c r="AE5" s="2" t="s">
        <v>193</v>
      </c>
      <c r="AF5" s="2" t="s">
        <v>199</v>
      </c>
      <c r="AG5" s="2" t="s">
        <v>198</v>
      </c>
      <c r="AH5" s="2" t="s">
        <v>197</v>
      </c>
      <c r="AI5" s="2" t="s">
        <v>196</v>
      </c>
      <c r="AJ5" s="2" t="s">
        <v>194</v>
      </c>
      <c r="AK5" s="2" t="s">
        <v>200</v>
      </c>
      <c r="AL5" s="2" t="s">
        <v>203</v>
      </c>
      <c r="AM5" s="2"/>
    </row>
    <row r="6" customFormat="false" ht="15" hidden="false" customHeight="false" outlineLevel="0" collapsed="false">
      <c r="B6" s="37" t="s">
        <v>229</v>
      </c>
      <c r="D6" s="37" t="n">
        <f aca="false">COUNTIF('United Games For'!$A$5:$A$22,D$5)</f>
        <v>1</v>
      </c>
      <c r="E6" s="37" t="n">
        <f aca="false">COUNTIF('United Games For'!$A$5:$A$22,E$5)</f>
        <v>2</v>
      </c>
      <c r="F6" s="37" t="n">
        <f aca="false">COUNTIF('United Games For'!$A$5:$A$22,F$5)</f>
        <v>2</v>
      </c>
      <c r="G6" s="37" t="n">
        <f aca="false">COUNTIF('United Games For'!$A$5:$A$22,G$5)</f>
        <v>1</v>
      </c>
      <c r="H6" s="37" t="n">
        <f aca="false">COUNTIF('United Games For'!$A$5:$A$22,H$5)</f>
        <v>2</v>
      </c>
      <c r="I6" s="37" t="n">
        <f aca="false">COUNTIF('United Games For'!$A$5:$A$22,I$5)</f>
        <v>2</v>
      </c>
      <c r="J6" s="37" t="n">
        <f aca="false">COUNTIF('United Games For'!$A$5:$A$22,J$5)</f>
        <v>1</v>
      </c>
      <c r="K6" s="37" t="n">
        <f aca="false">COUNTIF('United Games For'!$A$5:$A$22,K$5)</f>
        <v>1</v>
      </c>
      <c r="L6" s="37" t="n">
        <f aca="false">COUNTIF('United Games For'!$A$5:$A$22,L$5)</f>
        <v>2</v>
      </c>
      <c r="M6" s="37" t="n">
        <f aca="false">COUNTIF('United Games For'!$A$5:$A$22,M$5)</f>
        <v>2</v>
      </c>
      <c r="N6" s="37" t="n">
        <f aca="false">COUNTIF('United Games For'!$A$5:$A$22,N$5)</f>
        <v>2</v>
      </c>
    </row>
    <row r="7" customFormat="false" ht="15" hidden="false" customHeight="false" outlineLevel="0" collapsed="false">
      <c r="A7" s="6" t="s">
        <v>55</v>
      </c>
      <c r="B7" s="7" t="s">
        <v>56</v>
      </c>
      <c r="C7" s="38" t="s">
        <v>179</v>
      </c>
      <c r="D7" s="16" t="n">
        <f aca="false">AVERAGEIF('United Games For'!$A$5:$A$22,D$5,'United Games For'!E$5:E$22)</f>
        <v>406</v>
      </c>
      <c r="E7" s="16" t="n">
        <f aca="false">AVERAGEIF('United Games For'!$A$5:$A$22,E$5,'United Games For'!E$5:E$22)</f>
        <v>322.5</v>
      </c>
      <c r="F7" s="16" t="n">
        <f aca="false">AVERAGEIF('United Games For'!$A$5:$A$22,F$5,'United Games For'!E$5:E$22)</f>
        <v>322</v>
      </c>
      <c r="G7" s="16" t="n">
        <f aca="false">AVERAGEIF('United Games For'!$A$5:$A$22,G$5,'United Games For'!E$5:E$22)</f>
        <v>359</v>
      </c>
      <c r="H7" s="16" t="n">
        <f aca="false">AVERAGEIF('United Games For'!$A$5:$A$22,H$5,'United Games For'!E$5:E$22)</f>
        <v>356.5</v>
      </c>
      <c r="I7" s="16" t="n">
        <f aca="false">AVERAGEIF('United Games For'!$A$5:$A$22,I$5,'United Games For'!E$5:E$22)</f>
        <v>339.5</v>
      </c>
      <c r="J7" s="16" t="n">
        <f aca="false">AVERAGEIF('United Games For'!$A$5:$A$22,J$5,'United Games For'!E$5:E$22)</f>
        <v>311</v>
      </c>
      <c r="K7" s="16" t="n">
        <f aca="false">AVERAGEIF('United Games For'!$A$5:$A$22,K$5,'United Games For'!E$5:E$22)</f>
        <v>356</v>
      </c>
      <c r="L7" s="16" t="n">
        <f aca="false">AVERAGEIF('United Games For'!$A$5:$A$22,L$5,'United Games For'!E$5:E$22)</f>
        <v>305.5</v>
      </c>
      <c r="M7" s="16" t="n">
        <f aca="false">AVERAGEIF('United Games For'!$A$5:$A$22,M$5,'United Games For'!E$5:E$22)</f>
        <v>353</v>
      </c>
      <c r="N7" s="16" t="n">
        <f aca="false">AVERAGEIF('United Games For'!$A$5:$A$22,N$5,'United Games For'!E$5:E$22)</f>
        <v>432.5</v>
      </c>
      <c r="P7" s="16" t="n">
        <f aca="false">AVERAGEIF('United Games Against'!$A$5:$A$22,D$5,'United Games Against'!E$5:E$22)</f>
        <v>266</v>
      </c>
      <c r="Q7" s="16" t="n">
        <f aca="false">AVERAGEIF('United Games Against'!$A$5:$A$22,E$5,'United Games Against'!E$5:E$22)</f>
        <v>379.5</v>
      </c>
      <c r="R7" s="16" t="n">
        <f aca="false">AVERAGEIF('United Games Against'!$A$5:$A$22,F$5,'United Games Against'!E$5:E$22)</f>
        <v>291.5</v>
      </c>
      <c r="S7" s="16" t="n">
        <f aca="false">AVERAGEIF('United Games Against'!$A$5:$A$22,G$5,'United Games Against'!E$5:E$22)</f>
        <v>327</v>
      </c>
      <c r="T7" s="16" t="n">
        <f aca="false">AVERAGEIF('United Games Against'!$A$5:$A$22,H$5,'United Games Against'!E$5:E$22)</f>
        <v>302.5</v>
      </c>
      <c r="U7" s="16" t="n">
        <f aca="false">AVERAGEIF('United Games Against'!$A$5:$A$22,I$5,'United Games Against'!E$5:E$22)</f>
        <v>318.5</v>
      </c>
      <c r="V7" s="16" t="n">
        <f aca="false">AVERAGEIF('United Games Against'!$A$5:$A$22,J$5,'United Games Against'!E$5:E$22)</f>
        <v>331</v>
      </c>
      <c r="W7" s="16" t="n">
        <f aca="false">AVERAGEIF('United Games Against'!$A$5:$A$22,K$5,'United Games Against'!E$5:E$22)</f>
        <v>275</v>
      </c>
      <c r="X7" s="16" t="n">
        <f aca="false">AVERAGEIF('United Games Against'!$A$5:$A$22,L$5,'United Games Against'!E$5:E$22)</f>
        <v>338</v>
      </c>
      <c r="Y7" s="16" t="n">
        <f aca="false">AVERAGEIF('United Games Against'!$A$5:$A$22,M$5,'United Games Against'!E$5:E$22)</f>
        <v>339.5</v>
      </c>
      <c r="Z7" s="16" t="n">
        <f aca="false">AVERAGEIF('United Games Against'!$A$5:$A$22,N$5,'United Games Against'!E$5:E$22)</f>
        <v>290</v>
      </c>
      <c r="AB7" s="16" t="n">
        <f aca="false">D7-P7</f>
        <v>140</v>
      </c>
      <c r="AC7" s="16" t="n">
        <f aca="false">E7-Q7</f>
        <v>-57</v>
      </c>
      <c r="AD7" s="16" t="n">
        <f aca="false">F7-R7</f>
        <v>30.5</v>
      </c>
      <c r="AE7" s="16" t="n">
        <f aca="false">G7-S7</f>
        <v>32</v>
      </c>
      <c r="AF7" s="16" t="n">
        <f aca="false">H7-T7</f>
        <v>54</v>
      </c>
      <c r="AG7" s="16" t="n">
        <f aca="false">I7-U7</f>
        <v>21</v>
      </c>
      <c r="AH7" s="16" t="n">
        <f aca="false">J7-V7</f>
        <v>-20</v>
      </c>
      <c r="AI7" s="16" t="n">
        <f aca="false">K7-W7</f>
        <v>81</v>
      </c>
      <c r="AJ7" s="16" t="n">
        <f aca="false">L7-X7</f>
        <v>-32.5</v>
      </c>
      <c r="AK7" s="16" t="n">
        <f aca="false">M7-Y7</f>
        <v>13.5</v>
      </c>
      <c r="AL7" s="16" t="n">
        <f aca="false">N7-Z7</f>
        <v>142.5</v>
      </c>
    </row>
    <row r="8" customFormat="false" ht="15" hidden="false" customHeight="false" outlineLevel="0" collapsed="false">
      <c r="A8" s="6" t="s">
        <v>105</v>
      </c>
      <c r="B8" s="7" t="s">
        <v>106</v>
      </c>
      <c r="C8" s="38" t="s">
        <v>179</v>
      </c>
      <c r="D8" s="16" t="n">
        <f aca="false">AVERAGEIF('United Games For'!$A$5:$A$22,D$5,'United Games For'!F$5:F$22)</f>
        <v>262</v>
      </c>
      <c r="E8" s="16" t="n">
        <f aca="false">AVERAGEIF('United Games For'!$A$5:$A$22,E$5,'United Games For'!F$5:F$22)</f>
        <v>208.5</v>
      </c>
      <c r="F8" s="16" t="n">
        <f aca="false">AVERAGEIF('United Games For'!$A$5:$A$22,F$5,'United Games For'!F$5:F$22)</f>
        <v>215</v>
      </c>
      <c r="G8" s="16" t="n">
        <f aca="false">AVERAGEIF('United Games For'!$A$5:$A$22,G$5,'United Games For'!F$5:F$22)</f>
        <v>219</v>
      </c>
      <c r="H8" s="16" t="n">
        <f aca="false">AVERAGEIF('United Games For'!$A$5:$A$22,H$5,'United Games For'!F$5:F$22)</f>
        <v>230</v>
      </c>
      <c r="I8" s="16" t="n">
        <f aca="false">AVERAGEIF('United Games For'!$A$5:$A$22,I$5,'United Games For'!F$5:F$22)</f>
        <v>205</v>
      </c>
      <c r="J8" s="16" t="n">
        <f aca="false">AVERAGEIF('United Games For'!$A$5:$A$22,J$5,'United Games For'!F$5:F$22)</f>
        <v>219</v>
      </c>
      <c r="K8" s="16" t="n">
        <f aca="false">AVERAGEIF('United Games For'!$A$5:$A$22,K$5,'United Games For'!F$5:F$22)</f>
        <v>225</v>
      </c>
      <c r="L8" s="16" t="n">
        <f aca="false">AVERAGEIF('United Games For'!$A$5:$A$22,L$5,'United Games For'!F$5:F$22)</f>
        <v>183</v>
      </c>
      <c r="M8" s="16" t="n">
        <f aca="false">AVERAGEIF('United Games For'!$A$5:$A$22,M$5,'United Games For'!F$5:F$22)</f>
        <v>232.5</v>
      </c>
      <c r="N8" s="16" t="n">
        <f aca="false">AVERAGEIF('United Games For'!$A$5:$A$22,N$5,'United Games For'!F$5:F$22)</f>
        <v>282.5</v>
      </c>
      <c r="P8" s="16" t="n">
        <f aca="false">AVERAGEIF('United Games Against'!$A$5:$A$22,D$5,'United Games Against'!F$5:F$22)</f>
        <v>152</v>
      </c>
      <c r="Q8" s="16" t="n">
        <f aca="false">AVERAGEIF('United Games Against'!$A$5:$A$22,E$5,'United Games Against'!F$5:F$22)</f>
        <v>226</v>
      </c>
      <c r="R8" s="16" t="n">
        <f aca="false">AVERAGEIF('United Games Against'!$A$5:$A$22,F$5,'United Games Against'!F$5:F$22)</f>
        <v>175.5</v>
      </c>
      <c r="S8" s="16" t="n">
        <f aca="false">AVERAGEIF('United Games Against'!$A$5:$A$22,G$5,'United Games Against'!F$5:F$22)</f>
        <v>231</v>
      </c>
      <c r="T8" s="16" t="n">
        <f aca="false">AVERAGEIF('United Games Against'!$A$5:$A$22,H$5,'United Games Against'!F$5:F$22)</f>
        <v>187.5</v>
      </c>
      <c r="U8" s="16" t="n">
        <f aca="false">AVERAGEIF('United Games Against'!$A$5:$A$22,I$5,'United Games Against'!F$5:F$22)</f>
        <v>196.5</v>
      </c>
      <c r="V8" s="16" t="n">
        <f aca="false">AVERAGEIF('United Games Against'!$A$5:$A$22,J$5,'United Games Against'!F$5:F$22)</f>
        <v>211</v>
      </c>
      <c r="W8" s="16" t="n">
        <f aca="false">AVERAGEIF('United Games Against'!$A$5:$A$22,K$5,'United Games Against'!F$5:F$22)</f>
        <v>172</v>
      </c>
      <c r="X8" s="16" t="n">
        <f aca="false">AVERAGEIF('United Games Against'!$A$5:$A$22,L$5,'United Games Against'!F$5:F$22)</f>
        <v>207</v>
      </c>
      <c r="Y8" s="16" t="n">
        <f aca="false">AVERAGEIF('United Games Against'!$A$5:$A$22,M$5,'United Games Against'!F$5:F$22)</f>
        <v>224.5</v>
      </c>
      <c r="Z8" s="16" t="n">
        <f aca="false">AVERAGEIF('United Games Against'!$A$5:$A$22,N$5,'United Games Against'!F$5:F$22)</f>
        <v>191.5</v>
      </c>
      <c r="AB8" s="16" t="n">
        <f aca="false">D8-P8</f>
        <v>110</v>
      </c>
      <c r="AC8" s="16" t="n">
        <f aca="false">E8-Q8</f>
        <v>-17.5</v>
      </c>
      <c r="AD8" s="16" t="n">
        <f aca="false">F8-R8</f>
        <v>39.5</v>
      </c>
      <c r="AE8" s="16" t="n">
        <f aca="false">G8-S8</f>
        <v>-12</v>
      </c>
      <c r="AF8" s="16" t="n">
        <f aca="false">H8-T8</f>
        <v>42.5</v>
      </c>
      <c r="AG8" s="16" t="n">
        <f aca="false">I8-U8</f>
        <v>8.5</v>
      </c>
      <c r="AH8" s="16" t="n">
        <f aca="false">J8-V8</f>
        <v>8</v>
      </c>
      <c r="AI8" s="16" t="n">
        <f aca="false">K8-W8</f>
        <v>53</v>
      </c>
      <c r="AJ8" s="16" t="n">
        <f aca="false">L8-X8</f>
        <v>-24</v>
      </c>
      <c r="AK8" s="16" t="n">
        <f aca="false">M8-Y8</f>
        <v>8</v>
      </c>
      <c r="AL8" s="16" t="n">
        <f aca="false">N8-Z8</f>
        <v>91</v>
      </c>
    </row>
    <row r="9" customFormat="false" ht="15" hidden="false" customHeight="false" outlineLevel="0" collapsed="false">
      <c r="A9" s="6" t="s">
        <v>85</v>
      </c>
      <c r="B9" s="7" t="s">
        <v>86</v>
      </c>
      <c r="C9" s="38" t="s">
        <v>179</v>
      </c>
      <c r="D9" s="16" t="n">
        <f aca="false">AVERAGEIF('United Games For'!$A$5:$A$22,D$5,'United Games For'!G$5:G$22)</f>
        <v>144</v>
      </c>
      <c r="E9" s="16" t="n">
        <f aca="false">AVERAGEIF('United Games For'!$A$5:$A$22,E$5,'United Games For'!G$5:G$22)</f>
        <v>114</v>
      </c>
      <c r="F9" s="16" t="n">
        <f aca="false">AVERAGEIF('United Games For'!$A$5:$A$22,F$5,'United Games For'!G$5:G$22)</f>
        <v>107</v>
      </c>
      <c r="G9" s="16" t="n">
        <f aca="false">AVERAGEIF('United Games For'!$A$5:$A$22,G$5,'United Games For'!G$5:G$22)</f>
        <v>140</v>
      </c>
      <c r="H9" s="16" t="n">
        <f aca="false">AVERAGEIF('United Games For'!$A$5:$A$22,H$5,'United Games For'!G$5:G$22)</f>
        <v>126.5</v>
      </c>
      <c r="I9" s="16" t="n">
        <f aca="false">AVERAGEIF('United Games For'!$A$5:$A$22,I$5,'United Games For'!G$5:G$22)</f>
        <v>134.5</v>
      </c>
      <c r="J9" s="16" t="n">
        <f aca="false">AVERAGEIF('United Games For'!$A$5:$A$22,J$5,'United Games For'!G$5:G$22)</f>
        <v>92</v>
      </c>
      <c r="K9" s="16" t="n">
        <f aca="false">AVERAGEIF('United Games For'!$A$5:$A$22,K$5,'United Games For'!G$5:G$22)</f>
        <v>131</v>
      </c>
      <c r="L9" s="16" t="n">
        <f aca="false">AVERAGEIF('United Games For'!$A$5:$A$22,L$5,'United Games For'!G$5:G$22)</f>
        <v>122.5</v>
      </c>
      <c r="M9" s="16" t="n">
        <f aca="false">AVERAGEIF('United Games For'!$A$5:$A$22,M$5,'United Games For'!G$5:G$22)</f>
        <v>120.5</v>
      </c>
      <c r="N9" s="16" t="n">
        <f aca="false">AVERAGEIF('United Games For'!$A$5:$A$22,N$5,'United Games For'!G$5:G$22)</f>
        <v>150</v>
      </c>
      <c r="P9" s="16" t="n">
        <f aca="false">AVERAGEIF('United Games Against'!$A$5:$A$22,D$5,'United Games Against'!G$5:G$22)</f>
        <v>114</v>
      </c>
      <c r="Q9" s="16" t="n">
        <f aca="false">AVERAGEIF('United Games Against'!$A$5:$A$22,E$5,'United Games Against'!G$5:G$22)</f>
        <v>153.5</v>
      </c>
      <c r="R9" s="16" t="n">
        <f aca="false">AVERAGEIF('United Games Against'!$A$5:$A$22,F$5,'United Games Against'!G$5:G$22)</f>
        <v>116</v>
      </c>
      <c r="S9" s="16" t="n">
        <f aca="false">AVERAGEIF('United Games Against'!$A$5:$A$22,G$5,'United Games Against'!G$5:G$22)</f>
        <v>96</v>
      </c>
      <c r="T9" s="16" t="n">
        <f aca="false">AVERAGEIF('United Games Against'!$A$5:$A$22,H$5,'United Games Against'!G$5:G$22)</f>
        <v>115</v>
      </c>
      <c r="U9" s="16" t="n">
        <f aca="false">AVERAGEIF('United Games Against'!$A$5:$A$22,I$5,'United Games Against'!G$5:G$22)</f>
        <v>122</v>
      </c>
      <c r="V9" s="16" t="n">
        <f aca="false">AVERAGEIF('United Games Against'!$A$5:$A$22,J$5,'United Games Against'!G$5:G$22)</f>
        <v>120</v>
      </c>
      <c r="W9" s="16" t="n">
        <f aca="false">AVERAGEIF('United Games Against'!$A$5:$A$22,K$5,'United Games Against'!G$5:G$22)</f>
        <v>103</v>
      </c>
      <c r="X9" s="16" t="n">
        <f aca="false">AVERAGEIF('United Games Against'!$A$5:$A$22,L$5,'United Games Against'!G$5:G$22)</f>
        <v>131</v>
      </c>
      <c r="Y9" s="16" t="n">
        <f aca="false">AVERAGEIF('United Games Against'!$A$5:$A$22,M$5,'United Games Against'!G$5:G$22)</f>
        <v>115</v>
      </c>
      <c r="Z9" s="16" t="n">
        <f aca="false">AVERAGEIF('United Games Against'!$A$5:$A$22,N$5,'United Games Against'!G$5:G$22)</f>
        <v>98.5</v>
      </c>
      <c r="AB9" s="16" t="n">
        <f aca="false">D9-P9</f>
        <v>30</v>
      </c>
      <c r="AC9" s="16" t="n">
        <f aca="false">E9-Q9</f>
        <v>-39.5</v>
      </c>
      <c r="AD9" s="16" t="n">
        <f aca="false">F9-R9</f>
        <v>-9</v>
      </c>
      <c r="AE9" s="16" t="n">
        <f aca="false">G9-S9</f>
        <v>44</v>
      </c>
      <c r="AF9" s="16" t="n">
        <f aca="false">H9-T9</f>
        <v>11.5</v>
      </c>
      <c r="AG9" s="16" t="n">
        <f aca="false">I9-U9</f>
        <v>12.5</v>
      </c>
      <c r="AH9" s="16" t="n">
        <f aca="false">J9-V9</f>
        <v>-28</v>
      </c>
      <c r="AI9" s="16" t="n">
        <f aca="false">K9-W9</f>
        <v>28</v>
      </c>
      <c r="AJ9" s="16" t="n">
        <f aca="false">L9-X9</f>
        <v>-8.5</v>
      </c>
      <c r="AK9" s="16" t="n">
        <f aca="false">M9-Y9</f>
        <v>5.5</v>
      </c>
      <c r="AL9" s="16" t="n">
        <f aca="false">N9-Z9</f>
        <v>51.5</v>
      </c>
    </row>
    <row r="10" customFormat="false" ht="15" hidden="false" customHeight="false" outlineLevel="0" collapsed="false">
      <c r="A10" s="6" t="s">
        <v>49</v>
      </c>
      <c r="B10" s="7" t="s">
        <v>50</v>
      </c>
      <c r="C10" s="38" t="s">
        <v>179</v>
      </c>
      <c r="D10" s="16" t="n">
        <f aca="false">AVERAGEIF('United Games For'!$A$5:$A$22,D$5,'United Games For'!H$5:H$22)</f>
        <v>103</v>
      </c>
      <c r="E10" s="16" t="n">
        <f aca="false">AVERAGEIF('United Games For'!$A$5:$A$22,E$5,'United Games For'!H$5:H$22)</f>
        <v>121</v>
      </c>
      <c r="F10" s="16" t="n">
        <f aca="false">AVERAGEIF('United Games For'!$A$5:$A$22,F$5,'United Games For'!H$5:H$22)</f>
        <v>114.5</v>
      </c>
      <c r="G10" s="16" t="n">
        <f aca="false">AVERAGEIF('United Games For'!$A$5:$A$22,G$5,'United Games For'!H$5:H$22)</f>
        <v>107</v>
      </c>
      <c r="H10" s="16" t="n">
        <f aca="false">AVERAGEIF('United Games For'!$A$5:$A$22,H$5,'United Games For'!H$5:H$22)</f>
        <v>133</v>
      </c>
      <c r="I10" s="16" t="n">
        <f aca="false">AVERAGEIF('United Games For'!$A$5:$A$22,I$5,'United Games For'!H$5:H$22)</f>
        <v>147.5</v>
      </c>
      <c r="J10" s="16" t="n">
        <f aca="false">AVERAGEIF('United Games For'!$A$5:$A$22,J$5,'United Games For'!H$5:H$22)</f>
        <v>131</v>
      </c>
      <c r="K10" s="16" t="n">
        <f aca="false">AVERAGEIF('United Games For'!$A$5:$A$22,K$5,'United Games For'!H$5:H$22)</f>
        <v>105</v>
      </c>
      <c r="L10" s="16" t="n">
        <f aca="false">AVERAGEIF('United Games For'!$A$5:$A$22,L$5,'United Games For'!H$5:H$22)</f>
        <v>127.5</v>
      </c>
      <c r="M10" s="16" t="n">
        <f aca="false">AVERAGEIF('United Games For'!$A$5:$A$22,M$5,'United Games For'!H$5:H$22)</f>
        <v>154.5</v>
      </c>
      <c r="N10" s="16" t="n">
        <f aca="false">AVERAGEIF('United Games For'!$A$5:$A$22,N$5,'United Games For'!H$5:H$22)</f>
        <v>139.5</v>
      </c>
      <c r="P10" s="16" t="n">
        <f aca="false">AVERAGEIF('United Games Against'!$A$5:$A$22,D$5,'United Games Against'!H$5:H$22)</f>
        <v>111</v>
      </c>
      <c r="Q10" s="16" t="n">
        <f aca="false">AVERAGEIF('United Games Against'!$A$5:$A$22,E$5,'United Games Against'!H$5:H$22)</f>
        <v>137.5</v>
      </c>
      <c r="R10" s="16" t="n">
        <f aca="false">AVERAGEIF('United Games Against'!$A$5:$A$22,F$5,'United Games Against'!H$5:H$22)</f>
        <v>110.5</v>
      </c>
      <c r="S10" s="16" t="n">
        <f aca="false">AVERAGEIF('United Games Against'!$A$5:$A$22,G$5,'United Games Against'!H$5:H$22)</f>
        <v>108</v>
      </c>
      <c r="T10" s="16" t="n">
        <f aca="false">AVERAGEIF('United Games Against'!$A$5:$A$22,H$5,'United Games Against'!H$5:H$22)</f>
        <v>131</v>
      </c>
      <c r="U10" s="16" t="n">
        <f aca="false">AVERAGEIF('United Games Against'!$A$5:$A$22,I$5,'United Games Against'!H$5:H$22)</f>
        <v>139.5</v>
      </c>
      <c r="V10" s="16" t="n">
        <f aca="false">AVERAGEIF('United Games Against'!$A$5:$A$22,J$5,'United Games Against'!H$5:H$22)</f>
        <v>142</v>
      </c>
      <c r="W10" s="16" t="n">
        <f aca="false">AVERAGEIF('United Games Against'!$A$5:$A$22,K$5,'United Games Against'!H$5:H$22)</f>
        <v>113</v>
      </c>
      <c r="X10" s="16" t="n">
        <f aca="false">AVERAGEIF('United Games Against'!$A$5:$A$22,L$5,'United Games Against'!H$5:H$22)</f>
        <v>132.5</v>
      </c>
      <c r="Y10" s="16" t="n">
        <f aca="false">AVERAGEIF('United Games Against'!$A$5:$A$22,M$5,'United Games Against'!H$5:H$22)</f>
        <v>121</v>
      </c>
      <c r="Z10" s="16" t="n">
        <f aca="false">AVERAGEIF('United Games Against'!$A$5:$A$22,N$5,'United Games Against'!H$5:H$22)</f>
        <v>101</v>
      </c>
      <c r="AB10" s="16" t="n">
        <f aca="false">D10-P10</f>
        <v>-8</v>
      </c>
      <c r="AC10" s="16" t="n">
        <f aca="false">E10-Q10</f>
        <v>-16.5</v>
      </c>
      <c r="AD10" s="16" t="n">
        <f aca="false">F10-R10</f>
        <v>4</v>
      </c>
      <c r="AE10" s="16" t="n">
        <f aca="false">G10-S10</f>
        <v>-1</v>
      </c>
      <c r="AF10" s="16" t="n">
        <f aca="false">H10-T10</f>
        <v>2</v>
      </c>
      <c r="AG10" s="16" t="n">
        <f aca="false">I10-U10</f>
        <v>8</v>
      </c>
      <c r="AH10" s="16" t="n">
        <f aca="false">J10-V10</f>
        <v>-11</v>
      </c>
      <c r="AI10" s="16" t="n">
        <f aca="false">K10-W10</f>
        <v>-8</v>
      </c>
      <c r="AJ10" s="16" t="n">
        <f aca="false">L10-X10</f>
        <v>-5</v>
      </c>
      <c r="AK10" s="16" t="n">
        <f aca="false">M10-Y10</f>
        <v>33.5</v>
      </c>
      <c r="AL10" s="16" t="n">
        <f aca="false">N10-Z10</f>
        <v>38.5</v>
      </c>
    </row>
    <row r="11" customFormat="false" ht="15" hidden="false" customHeight="false" outlineLevel="0" collapsed="false">
      <c r="A11" s="6" t="s">
        <v>155</v>
      </c>
      <c r="B11" s="7" t="s">
        <v>156</v>
      </c>
      <c r="C11" s="38" t="s">
        <v>179</v>
      </c>
      <c r="D11" s="16" t="n">
        <f aca="false">AVERAGEIF('United Games For'!$A$5:$A$22,D$5,'United Games For'!I$5:I$22)</f>
        <v>64</v>
      </c>
      <c r="E11" s="16" t="n">
        <f aca="false">AVERAGEIF('United Games For'!$A$5:$A$22,E$5,'United Games For'!I$5:I$22)</f>
        <v>76</v>
      </c>
      <c r="F11" s="16" t="n">
        <f aca="false">AVERAGEIF('United Games For'!$A$5:$A$22,F$5,'United Games For'!I$5:I$22)</f>
        <v>61</v>
      </c>
      <c r="G11" s="16" t="n">
        <f aca="false">AVERAGEIF('United Games For'!$A$5:$A$22,G$5,'United Games For'!I$5:I$22)</f>
        <v>68</v>
      </c>
      <c r="H11" s="16" t="n">
        <f aca="false">AVERAGEIF('United Games For'!$A$5:$A$22,H$5,'United Games For'!I$5:I$22)</f>
        <v>82.5</v>
      </c>
      <c r="I11" s="16" t="n">
        <f aca="false">AVERAGEIF('United Games For'!$A$5:$A$22,I$5,'United Games For'!I$5:I$22)</f>
        <v>95.5</v>
      </c>
      <c r="J11" s="16" t="n">
        <f aca="false">AVERAGEIF('United Games For'!$A$5:$A$22,J$5,'United Games For'!I$5:I$22)</f>
        <v>71</v>
      </c>
      <c r="K11" s="16" t="n">
        <f aca="false">AVERAGEIF('United Games For'!$A$5:$A$22,K$5,'United Games For'!I$5:I$22)</f>
        <v>62</v>
      </c>
      <c r="L11" s="16" t="n">
        <f aca="false">AVERAGEIF('United Games For'!$A$5:$A$22,L$5,'United Games For'!I$5:I$22)</f>
        <v>77</v>
      </c>
      <c r="M11" s="16" t="n">
        <f aca="false">AVERAGEIF('United Games For'!$A$5:$A$22,M$5,'United Games For'!I$5:I$22)</f>
        <v>89.5</v>
      </c>
      <c r="N11" s="16" t="n">
        <f aca="false">AVERAGEIF('United Games For'!$A$5:$A$22,N$5,'United Games For'!I$5:I$22)</f>
        <v>87.5</v>
      </c>
      <c r="P11" s="16" t="n">
        <f aca="false">AVERAGEIF('United Games Against'!$A$5:$A$22,D$5,'United Games Against'!I$5:I$22)</f>
        <v>64</v>
      </c>
      <c r="Q11" s="16" t="n">
        <f aca="false">AVERAGEIF('United Games Against'!$A$5:$A$22,E$5,'United Games Against'!I$5:I$22)</f>
        <v>90</v>
      </c>
      <c r="R11" s="16" t="n">
        <f aca="false">AVERAGEIF('United Games Against'!$A$5:$A$22,F$5,'United Games Against'!I$5:I$22)</f>
        <v>75</v>
      </c>
      <c r="S11" s="16" t="n">
        <f aca="false">AVERAGEIF('United Games Against'!$A$5:$A$22,G$5,'United Games Against'!I$5:I$22)</f>
        <v>55</v>
      </c>
      <c r="T11" s="16" t="n">
        <f aca="false">AVERAGEIF('United Games Against'!$A$5:$A$22,H$5,'United Games Against'!I$5:I$22)</f>
        <v>78</v>
      </c>
      <c r="U11" s="16" t="n">
        <f aca="false">AVERAGEIF('United Games Against'!$A$5:$A$22,I$5,'United Games Against'!I$5:I$22)</f>
        <v>80</v>
      </c>
      <c r="V11" s="16" t="n">
        <f aca="false">AVERAGEIF('United Games Against'!$A$5:$A$22,J$5,'United Games Against'!I$5:I$22)</f>
        <v>87</v>
      </c>
      <c r="W11" s="16" t="n">
        <f aca="false">AVERAGEIF('United Games Against'!$A$5:$A$22,K$5,'United Games Against'!I$5:I$22)</f>
        <v>58</v>
      </c>
      <c r="X11" s="16" t="n">
        <f aca="false">AVERAGEIF('United Games Against'!$A$5:$A$22,L$5,'United Games Against'!I$5:I$22)</f>
        <v>83.5</v>
      </c>
      <c r="Y11" s="16" t="n">
        <f aca="false">AVERAGEIF('United Games Against'!$A$5:$A$22,M$5,'United Games Against'!I$5:I$22)</f>
        <v>80</v>
      </c>
      <c r="Z11" s="16" t="n">
        <f aca="false">AVERAGEIF('United Games Against'!$A$5:$A$22,N$5,'United Games Against'!I$5:I$22)</f>
        <v>66</v>
      </c>
      <c r="AB11" s="16" t="n">
        <f aca="false">D11-P11</f>
        <v>0</v>
      </c>
      <c r="AC11" s="16" t="n">
        <f aca="false">E11-Q11</f>
        <v>-14</v>
      </c>
      <c r="AD11" s="16" t="n">
        <f aca="false">F11-R11</f>
        <v>-14</v>
      </c>
      <c r="AE11" s="16" t="n">
        <f aca="false">G11-S11</f>
        <v>13</v>
      </c>
      <c r="AF11" s="16" t="n">
        <f aca="false">H11-T11</f>
        <v>4.5</v>
      </c>
      <c r="AG11" s="16" t="n">
        <f aca="false">I11-U11</f>
        <v>15.5</v>
      </c>
      <c r="AH11" s="16" t="n">
        <f aca="false">J11-V11</f>
        <v>-16</v>
      </c>
      <c r="AI11" s="16" t="n">
        <f aca="false">K11-W11</f>
        <v>4</v>
      </c>
      <c r="AJ11" s="16" t="n">
        <f aca="false">L11-X11</f>
        <v>-6.5</v>
      </c>
      <c r="AK11" s="16" t="n">
        <f aca="false">M11-Y11</f>
        <v>9.5</v>
      </c>
      <c r="AL11" s="16" t="n">
        <f aca="false">N11-Z11</f>
        <v>21.5</v>
      </c>
    </row>
    <row r="12" customFormat="false" ht="15" hidden="false" customHeight="false" outlineLevel="0" collapsed="false">
      <c r="A12" s="6" t="s">
        <v>87</v>
      </c>
      <c r="B12" s="7" t="s">
        <v>88</v>
      </c>
      <c r="C12" s="38" t="s">
        <v>179</v>
      </c>
      <c r="D12" s="16" t="n">
        <f aca="false">AVERAGEIF('United Games For'!$A$5:$A$22,D$5,'United Games For'!J$5:J$22)</f>
        <v>30</v>
      </c>
      <c r="E12" s="16" t="n">
        <f aca="false">AVERAGEIF('United Games For'!$A$5:$A$22,E$5,'United Games For'!J$5:J$22)</f>
        <v>25.5</v>
      </c>
      <c r="F12" s="16" t="n">
        <f aca="false">AVERAGEIF('United Games For'!$A$5:$A$22,F$5,'United Games For'!J$5:J$22)</f>
        <v>18</v>
      </c>
      <c r="G12" s="16" t="n">
        <f aca="false">AVERAGEIF('United Games For'!$A$5:$A$22,G$5,'United Games For'!J$5:J$22)</f>
        <v>31</v>
      </c>
      <c r="H12" s="16" t="n">
        <f aca="false">AVERAGEIF('United Games For'!$A$5:$A$22,H$5,'United Games For'!J$5:J$22)</f>
        <v>29</v>
      </c>
      <c r="I12" s="16" t="n">
        <f aca="false">AVERAGEIF('United Games For'!$A$5:$A$22,I$5,'United Games For'!J$5:J$22)</f>
        <v>30.5</v>
      </c>
      <c r="J12" s="16" t="n">
        <f aca="false">AVERAGEIF('United Games For'!$A$5:$A$22,J$5,'United Games For'!J$5:J$22)</f>
        <v>27</v>
      </c>
      <c r="K12" s="16" t="n">
        <f aca="false">AVERAGEIF('United Games For'!$A$5:$A$22,K$5,'United Games For'!J$5:J$22)</f>
        <v>30</v>
      </c>
      <c r="L12" s="16" t="n">
        <f aca="false">AVERAGEIF('United Games For'!$A$5:$A$22,L$5,'United Games For'!J$5:J$22)</f>
        <v>30.5</v>
      </c>
      <c r="M12" s="16" t="n">
        <f aca="false">AVERAGEIF('United Games For'!$A$5:$A$22,M$5,'United Games For'!J$5:J$22)</f>
        <v>35</v>
      </c>
      <c r="N12" s="16" t="n">
        <f aca="false">AVERAGEIF('United Games For'!$A$5:$A$22,N$5,'United Games For'!J$5:J$22)</f>
        <v>28</v>
      </c>
      <c r="P12" s="16" t="n">
        <f aca="false">AVERAGEIF('United Games Against'!$A$5:$A$22,D$5,'United Games Against'!J$5:J$22)</f>
        <v>27</v>
      </c>
      <c r="Q12" s="16" t="n">
        <f aca="false">AVERAGEIF('United Games Against'!$A$5:$A$22,E$5,'United Games Against'!J$5:J$22)</f>
        <v>26</v>
      </c>
      <c r="R12" s="16" t="n">
        <f aca="false">AVERAGEIF('United Games Against'!$A$5:$A$22,F$5,'United Games Against'!J$5:J$22)</f>
        <v>31</v>
      </c>
      <c r="S12" s="16" t="n">
        <f aca="false">AVERAGEIF('United Games Against'!$A$5:$A$22,G$5,'United Games Against'!J$5:J$22)</f>
        <v>23</v>
      </c>
      <c r="T12" s="16" t="n">
        <f aca="false">AVERAGEIF('United Games Against'!$A$5:$A$22,H$5,'United Games Against'!J$5:J$22)</f>
        <v>18.5</v>
      </c>
      <c r="U12" s="16" t="n">
        <f aca="false">AVERAGEIF('United Games Against'!$A$5:$A$22,I$5,'United Games Against'!J$5:J$22)</f>
        <v>22.5</v>
      </c>
      <c r="V12" s="16" t="n">
        <f aca="false">AVERAGEIF('United Games Against'!$A$5:$A$22,J$5,'United Games Against'!J$5:J$22)</f>
        <v>42</v>
      </c>
      <c r="W12" s="16" t="n">
        <f aca="false">AVERAGEIF('United Games Against'!$A$5:$A$22,K$5,'United Games Against'!J$5:J$22)</f>
        <v>26</v>
      </c>
      <c r="X12" s="16" t="n">
        <f aca="false">AVERAGEIF('United Games Against'!$A$5:$A$22,L$5,'United Games Against'!J$5:J$22)</f>
        <v>29</v>
      </c>
      <c r="Y12" s="16" t="n">
        <f aca="false">AVERAGEIF('United Games Against'!$A$5:$A$22,M$5,'United Games Against'!J$5:J$22)</f>
        <v>26</v>
      </c>
      <c r="Z12" s="16" t="n">
        <f aca="false">AVERAGEIF('United Games Against'!$A$5:$A$22,N$5,'United Games Against'!J$5:J$22)</f>
        <v>17</v>
      </c>
      <c r="AB12" s="16" t="n">
        <f aca="false">D12-P12</f>
        <v>3</v>
      </c>
      <c r="AC12" s="16" t="n">
        <f aca="false">E12-Q12</f>
        <v>-0.5</v>
      </c>
      <c r="AD12" s="16" t="n">
        <f aca="false">F12-R12</f>
        <v>-13</v>
      </c>
      <c r="AE12" s="16" t="n">
        <f aca="false">G12-S12</f>
        <v>8</v>
      </c>
      <c r="AF12" s="16" t="n">
        <f aca="false">H12-T12</f>
        <v>10.5</v>
      </c>
      <c r="AG12" s="16" t="n">
        <f aca="false">I12-U12</f>
        <v>8</v>
      </c>
      <c r="AH12" s="16" t="n">
        <f aca="false">J12-V12</f>
        <v>-15</v>
      </c>
      <c r="AI12" s="16" t="n">
        <f aca="false">K12-W12</f>
        <v>4</v>
      </c>
      <c r="AJ12" s="16" t="n">
        <f aca="false">L12-X12</f>
        <v>1.5</v>
      </c>
      <c r="AK12" s="16" t="n">
        <f aca="false">M12-Y12</f>
        <v>9</v>
      </c>
      <c r="AL12" s="16" t="n">
        <f aca="false">N12-Z12</f>
        <v>11</v>
      </c>
    </row>
    <row r="13" customFormat="false" ht="15" hidden="false" customHeight="false" outlineLevel="0" collapsed="false">
      <c r="A13" s="6" t="s">
        <v>117</v>
      </c>
      <c r="B13" s="7" t="s">
        <v>118</v>
      </c>
      <c r="C13" s="38" t="s">
        <v>179</v>
      </c>
      <c r="D13" s="16" t="n">
        <f aca="false">AVERAGEIF('United Games For'!$A$5:$A$22,D$5,'United Games For'!K$5:K$22)</f>
        <v>34</v>
      </c>
      <c r="E13" s="16" t="n">
        <f aca="false">AVERAGEIF('United Games For'!$A$5:$A$22,E$5,'United Games For'!K$5:K$22)</f>
        <v>50.5</v>
      </c>
      <c r="F13" s="16" t="n">
        <f aca="false">AVERAGEIF('United Games For'!$A$5:$A$22,F$5,'United Games For'!K$5:K$22)</f>
        <v>43</v>
      </c>
      <c r="G13" s="16" t="n">
        <f aca="false">AVERAGEIF('United Games For'!$A$5:$A$22,G$5,'United Games For'!K$5:K$22)</f>
        <v>37</v>
      </c>
      <c r="H13" s="16" t="n">
        <f aca="false">AVERAGEIF('United Games For'!$A$5:$A$22,H$5,'United Games For'!K$5:K$22)</f>
        <v>53.5</v>
      </c>
      <c r="I13" s="16" t="n">
        <f aca="false">AVERAGEIF('United Games For'!$A$5:$A$22,I$5,'United Games For'!K$5:K$22)</f>
        <v>65</v>
      </c>
      <c r="J13" s="16" t="n">
        <f aca="false">AVERAGEIF('United Games For'!$A$5:$A$22,J$5,'United Games For'!K$5:K$22)</f>
        <v>44</v>
      </c>
      <c r="K13" s="16" t="n">
        <f aca="false">AVERAGEIF('United Games For'!$A$5:$A$22,K$5,'United Games For'!K$5:K$22)</f>
        <v>32</v>
      </c>
      <c r="L13" s="16" t="n">
        <f aca="false">AVERAGEIF('United Games For'!$A$5:$A$22,L$5,'United Games For'!K$5:K$22)</f>
        <v>46.5</v>
      </c>
      <c r="M13" s="16" t="n">
        <f aca="false">AVERAGEIF('United Games For'!$A$5:$A$22,M$5,'United Games For'!K$5:K$22)</f>
        <v>54.5</v>
      </c>
      <c r="N13" s="16" t="n">
        <f aca="false">AVERAGEIF('United Games For'!$A$5:$A$22,N$5,'United Games For'!K$5:K$22)</f>
        <v>59.5</v>
      </c>
      <c r="P13" s="16" t="n">
        <f aca="false">AVERAGEIF('United Games Against'!$A$5:$A$22,D$5,'United Games Against'!K$5:K$22)</f>
        <v>37</v>
      </c>
      <c r="Q13" s="16" t="n">
        <f aca="false">AVERAGEIF('United Games Against'!$A$5:$A$22,E$5,'United Games Against'!K$5:K$22)</f>
        <v>64</v>
      </c>
      <c r="R13" s="16" t="n">
        <f aca="false">AVERAGEIF('United Games Against'!$A$5:$A$22,F$5,'United Games Against'!K$5:K$22)</f>
        <v>44</v>
      </c>
      <c r="S13" s="16" t="n">
        <f aca="false">AVERAGEIF('United Games Against'!$A$5:$A$22,G$5,'United Games Against'!K$5:K$22)</f>
        <v>32</v>
      </c>
      <c r="T13" s="16" t="n">
        <f aca="false">AVERAGEIF('United Games Against'!$A$5:$A$22,H$5,'United Games Against'!K$5:K$22)</f>
        <v>59.5</v>
      </c>
      <c r="U13" s="16" t="n">
        <f aca="false">AVERAGEIF('United Games Against'!$A$5:$A$22,I$5,'United Games Against'!K$5:K$22)</f>
        <v>57.5</v>
      </c>
      <c r="V13" s="16" t="n">
        <f aca="false">AVERAGEIF('United Games Against'!$A$5:$A$22,J$5,'United Games Against'!K$5:K$22)</f>
        <v>45</v>
      </c>
      <c r="W13" s="16" t="n">
        <f aca="false">AVERAGEIF('United Games Against'!$A$5:$A$22,K$5,'United Games Against'!K$5:K$22)</f>
        <v>32</v>
      </c>
      <c r="X13" s="16" t="n">
        <f aca="false">AVERAGEIF('United Games Against'!$A$5:$A$22,L$5,'United Games Against'!K$5:K$22)</f>
        <v>54.5</v>
      </c>
      <c r="Y13" s="16" t="n">
        <f aca="false">AVERAGEIF('United Games Against'!$A$5:$A$22,M$5,'United Games Against'!K$5:K$22)</f>
        <v>54</v>
      </c>
      <c r="Z13" s="16" t="n">
        <f aca="false">AVERAGEIF('United Games Against'!$A$5:$A$22,N$5,'United Games Against'!K$5:K$22)</f>
        <v>49</v>
      </c>
      <c r="AB13" s="16" t="n">
        <f aca="false">D13-P13</f>
        <v>-3</v>
      </c>
      <c r="AC13" s="16" t="n">
        <f aca="false">E13-Q13</f>
        <v>-13.5</v>
      </c>
      <c r="AD13" s="16" t="n">
        <f aca="false">F13-R13</f>
        <v>-1</v>
      </c>
      <c r="AE13" s="16" t="n">
        <f aca="false">G13-S13</f>
        <v>5</v>
      </c>
      <c r="AF13" s="16" t="n">
        <f aca="false">H13-T13</f>
        <v>-6</v>
      </c>
      <c r="AG13" s="16" t="n">
        <f aca="false">I13-U13</f>
        <v>7.5</v>
      </c>
      <c r="AH13" s="16" t="n">
        <f aca="false">J13-V13</f>
        <v>-1</v>
      </c>
      <c r="AI13" s="16" t="n">
        <f aca="false">K13-W13</f>
        <v>0</v>
      </c>
      <c r="AJ13" s="16" t="n">
        <f aca="false">L13-X13</f>
        <v>-8</v>
      </c>
      <c r="AK13" s="16" t="n">
        <f aca="false">M13-Y13</f>
        <v>0.5</v>
      </c>
      <c r="AL13" s="16" t="n">
        <f aca="false">N13-Z13</f>
        <v>10.5</v>
      </c>
    </row>
    <row r="14" customFormat="false" ht="15" hidden="false" customHeight="false" outlineLevel="0" collapsed="false">
      <c r="A14" s="6" t="s">
        <v>103</v>
      </c>
      <c r="B14" s="7" t="s">
        <v>104</v>
      </c>
      <c r="C14" s="38" t="s">
        <v>179</v>
      </c>
      <c r="D14" s="16" t="n">
        <f aca="false">AVERAGEIF('United Games For'!$A$5:$A$22,D$5,'United Games For'!L$5:L$22)</f>
        <v>76</v>
      </c>
      <c r="E14" s="16" t="n">
        <f aca="false">AVERAGEIF('United Games For'!$A$5:$A$22,E$5,'United Games For'!L$5:L$22)</f>
        <v>67.5</v>
      </c>
      <c r="F14" s="16" t="n">
        <f aca="false">AVERAGEIF('United Games For'!$A$5:$A$22,F$5,'United Games For'!L$5:L$22)</f>
        <v>55</v>
      </c>
      <c r="G14" s="16" t="n">
        <f aca="false">AVERAGEIF('United Games For'!$A$5:$A$22,G$5,'United Games For'!L$5:L$22)</f>
        <v>61</v>
      </c>
      <c r="H14" s="16" t="n">
        <f aca="false">AVERAGEIF('United Games For'!$A$5:$A$22,H$5,'United Games For'!L$5:L$22)</f>
        <v>59.5</v>
      </c>
      <c r="I14" s="16" t="n">
        <f aca="false">AVERAGEIF('United Games For'!$A$5:$A$22,I$5,'United Games For'!L$5:L$22)</f>
        <v>73</v>
      </c>
      <c r="J14" s="16" t="n">
        <f aca="false">AVERAGEIF('United Games For'!$A$5:$A$22,J$5,'United Games For'!L$5:L$22)</f>
        <v>80</v>
      </c>
      <c r="K14" s="16" t="n">
        <f aca="false">AVERAGEIF('United Games For'!$A$5:$A$22,K$5,'United Games For'!L$5:L$22)</f>
        <v>74</v>
      </c>
      <c r="L14" s="16" t="n">
        <f aca="false">AVERAGEIF('United Games For'!$A$5:$A$22,L$5,'United Games For'!L$5:L$22)</f>
        <v>71.5</v>
      </c>
      <c r="M14" s="16" t="n">
        <f aca="false">AVERAGEIF('United Games For'!$A$5:$A$22,M$5,'United Games For'!L$5:L$22)</f>
        <v>73</v>
      </c>
      <c r="N14" s="16" t="n">
        <f aca="false">AVERAGEIF('United Games For'!$A$5:$A$22,N$5,'United Games For'!L$5:L$22)</f>
        <v>70</v>
      </c>
      <c r="P14" s="16" t="n">
        <f aca="false">AVERAGEIF('United Games Against'!$A$5:$A$22,D$5,'United Games Against'!L$5:L$22)</f>
        <v>68</v>
      </c>
      <c r="Q14" s="16" t="n">
        <f aca="false">AVERAGEIF('United Games Against'!$A$5:$A$22,E$5,'United Games Against'!L$5:L$22)</f>
        <v>59.5</v>
      </c>
      <c r="R14" s="16" t="n">
        <f aca="false">AVERAGEIF('United Games Against'!$A$5:$A$22,F$5,'United Games Against'!L$5:L$22)</f>
        <v>54.5</v>
      </c>
      <c r="S14" s="16" t="n">
        <f aca="false">AVERAGEIF('United Games Against'!$A$5:$A$22,G$5,'United Games Against'!L$5:L$22)</f>
        <v>61</v>
      </c>
      <c r="T14" s="16" t="n">
        <f aca="false">AVERAGEIF('United Games Against'!$A$5:$A$22,H$5,'United Games Against'!L$5:L$22)</f>
        <v>65</v>
      </c>
      <c r="U14" s="16" t="n">
        <f aca="false">AVERAGEIF('United Games Against'!$A$5:$A$22,I$5,'United Games Against'!L$5:L$22)</f>
        <v>69.5</v>
      </c>
      <c r="V14" s="16" t="n">
        <f aca="false">AVERAGEIF('United Games Against'!$A$5:$A$22,J$5,'United Games Against'!L$5:L$22)</f>
        <v>65</v>
      </c>
      <c r="W14" s="16" t="n">
        <f aca="false">AVERAGEIF('United Games Against'!$A$5:$A$22,K$5,'United Games Against'!L$5:L$22)</f>
        <v>56</v>
      </c>
      <c r="X14" s="16" t="n">
        <f aca="false">AVERAGEIF('United Games Against'!$A$5:$A$22,L$5,'United Games Against'!L$5:L$22)</f>
        <v>78.5</v>
      </c>
      <c r="Y14" s="16" t="n">
        <f aca="false">AVERAGEIF('United Games Against'!$A$5:$A$22,M$5,'United Games Against'!L$5:L$22)</f>
        <v>73.5</v>
      </c>
      <c r="Z14" s="16" t="n">
        <f aca="false">AVERAGEIF('United Games Against'!$A$5:$A$22,N$5,'United Games Against'!L$5:L$22)</f>
        <v>58.5</v>
      </c>
      <c r="AB14" s="16" t="n">
        <f aca="false">D14-P14</f>
        <v>8</v>
      </c>
      <c r="AC14" s="16" t="n">
        <f aca="false">E14-Q14</f>
        <v>8</v>
      </c>
      <c r="AD14" s="16" t="n">
        <f aca="false">F14-R14</f>
        <v>0.5</v>
      </c>
      <c r="AE14" s="16" t="n">
        <f aca="false">G14-S14</f>
        <v>0</v>
      </c>
      <c r="AF14" s="16" t="n">
        <f aca="false">H14-T14</f>
        <v>-5.5</v>
      </c>
      <c r="AG14" s="16" t="n">
        <f aca="false">I14-U14</f>
        <v>3.5</v>
      </c>
      <c r="AH14" s="16" t="n">
        <f aca="false">J14-V14</f>
        <v>15</v>
      </c>
      <c r="AI14" s="16" t="n">
        <f aca="false">K14-W14</f>
        <v>18</v>
      </c>
      <c r="AJ14" s="16" t="n">
        <f aca="false">L14-X14</f>
        <v>-7</v>
      </c>
      <c r="AK14" s="16" t="n">
        <f aca="false">M14-Y14</f>
        <v>-0.5</v>
      </c>
      <c r="AL14" s="16" t="n">
        <f aca="false">N14-Z14</f>
        <v>11.5</v>
      </c>
    </row>
    <row r="15" customFormat="false" ht="15" hidden="false" customHeight="false" outlineLevel="0" collapsed="false">
      <c r="A15" s="6" t="s">
        <v>81</v>
      </c>
      <c r="B15" s="7" t="s">
        <v>82</v>
      </c>
      <c r="C15" s="38" t="s">
        <v>179</v>
      </c>
      <c r="D15" s="16" t="n">
        <f aca="false">AVERAGEIF('United Games For'!$A$5:$A$22,D$5,'United Games For'!M$5:M$22)</f>
        <v>63</v>
      </c>
      <c r="E15" s="16" t="n">
        <f aca="false">AVERAGEIF('United Games For'!$A$5:$A$22,E$5,'United Games For'!M$5:M$22)</f>
        <v>38</v>
      </c>
      <c r="F15" s="16" t="n">
        <f aca="false">AVERAGEIF('United Games For'!$A$5:$A$22,F$5,'United Games For'!M$5:M$22)</f>
        <v>47</v>
      </c>
      <c r="G15" s="16" t="n">
        <f aca="false">AVERAGEIF('United Games For'!$A$5:$A$22,G$5,'United Games For'!M$5:M$22)</f>
        <v>61</v>
      </c>
      <c r="H15" s="16" t="n">
        <f aca="false">AVERAGEIF('United Games For'!$A$5:$A$22,H$5,'United Games For'!M$5:M$22)</f>
        <v>44.5</v>
      </c>
      <c r="I15" s="16" t="n">
        <f aca="false">AVERAGEIF('United Games For'!$A$5:$A$22,I$5,'United Games For'!M$5:M$22)</f>
        <v>46</v>
      </c>
      <c r="J15" s="16" t="n">
        <f aca="false">AVERAGEIF('United Games For'!$A$5:$A$22,J$5,'United Games For'!M$5:M$22)</f>
        <v>36</v>
      </c>
      <c r="K15" s="16" t="n">
        <f aca="false">AVERAGEIF('United Games For'!$A$5:$A$22,K$5,'United Games For'!M$5:M$22)</f>
        <v>74</v>
      </c>
      <c r="L15" s="16" t="n">
        <f aca="false">AVERAGEIF('United Games For'!$A$5:$A$22,L$5,'United Games For'!M$5:M$22)</f>
        <v>52.5</v>
      </c>
      <c r="M15" s="16" t="n">
        <f aca="false">AVERAGEIF('United Games For'!$A$5:$A$22,M$5,'United Games For'!M$5:M$22)</f>
        <v>62</v>
      </c>
      <c r="N15" s="16" t="n">
        <f aca="false">AVERAGEIF('United Games For'!$A$5:$A$22,N$5,'United Games For'!M$5:M$22)</f>
        <v>50</v>
      </c>
      <c r="P15" s="16" t="n">
        <f aca="false">AVERAGEIF('United Games Against'!$A$5:$A$22,D$5,'United Games Against'!M$5:M$22)</f>
        <v>41</v>
      </c>
      <c r="Q15" s="16" t="n">
        <f aca="false">AVERAGEIF('United Games Against'!$A$5:$A$22,E$5,'United Games Against'!M$5:M$22)</f>
        <v>49.5</v>
      </c>
      <c r="R15" s="16" t="n">
        <f aca="false">AVERAGEIF('United Games Against'!$A$5:$A$22,F$5,'United Games Against'!M$5:M$22)</f>
        <v>28.5</v>
      </c>
      <c r="S15" s="16" t="n">
        <f aca="false">AVERAGEIF('United Games Against'!$A$5:$A$22,G$5,'United Games Against'!M$5:M$22)</f>
        <v>77</v>
      </c>
      <c r="T15" s="16" t="n">
        <f aca="false">AVERAGEIF('United Games Against'!$A$5:$A$22,H$5,'United Games Against'!M$5:M$22)</f>
        <v>31</v>
      </c>
      <c r="U15" s="16" t="n">
        <f aca="false">AVERAGEIF('United Games Against'!$A$5:$A$22,I$5,'United Games Against'!M$5:M$22)</f>
        <v>48.5</v>
      </c>
      <c r="V15" s="16" t="n">
        <f aca="false">AVERAGEIF('United Games Against'!$A$5:$A$22,J$5,'United Games Against'!M$5:M$22)</f>
        <v>48</v>
      </c>
      <c r="W15" s="16" t="n">
        <f aca="false">AVERAGEIF('United Games Against'!$A$5:$A$22,K$5,'United Games Against'!M$5:M$22)</f>
        <v>57</v>
      </c>
      <c r="X15" s="16" t="n">
        <f aca="false">AVERAGEIF('United Games Against'!$A$5:$A$22,L$5,'United Games Against'!M$5:M$22)</f>
        <v>47.5</v>
      </c>
      <c r="Y15" s="16" t="n">
        <f aca="false">AVERAGEIF('United Games Against'!$A$5:$A$22,M$5,'United Games Against'!M$5:M$22)</f>
        <v>47</v>
      </c>
      <c r="Z15" s="16" t="n">
        <f aca="false">AVERAGEIF('United Games Against'!$A$5:$A$22,N$5,'United Games Against'!M$5:M$22)</f>
        <v>33.5</v>
      </c>
      <c r="AB15" s="16" t="n">
        <f aca="false">D15-P15</f>
        <v>22</v>
      </c>
      <c r="AC15" s="16" t="n">
        <f aca="false">E15-Q15</f>
        <v>-11.5</v>
      </c>
      <c r="AD15" s="16" t="n">
        <f aca="false">F15-R15</f>
        <v>18.5</v>
      </c>
      <c r="AE15" s="16" t="n">
        <f aca="false">G15-S15</f>
        <v>-16</v>
      </c>
      <c r="AF15" s="16" t="n">
        <f aca="false">H15-T15</f>
        <v>13.5</v>
      </c>
      <c r="AG15" s="16" t="n">
        <f aca="false">I15-U15</f>
        <v>-2.5</v>
      </c>
      <c r="AH15" s="16" t="n">
        <f aca="false">J15-V15</f>
        <v>-12</v>
      </c>
      <c r="AI15" s="16" t="n">
        <f aca="false">K15-W15</f>
        <v>17</v>
      </c>
      <c r="AJ15" s="16" t="n">
        <f aca="false">L15-X15</f>
        <v>5</v>
      </c>
      <c r="AK15" s="16" t="n">
        <f aca="false">M15-Y15</f>
        <v>15</v>
      </c>
      <c r="AL15" s="16" t="n">
        <f aca="false">N15-Z15</f>
        <v>16.5</v>
      </c>
    </row>
    <row r="16" customFormat="false" ht="15" hidden="false" customHeight="false" outlineLevel="0" collapsed="false">
      <c r="A16" s="6" t="s">
        <v>95</v>
      </c>
      <c r="B16" s="7" t="s">
        <v>96</v>
      </c>
      <c r="C16" s="38" t="s">
        <v>181</v>
      </c>
      <c r="D16" s="16" t="n">
        <f aca="false">AVERAGEIF('United Games For'!$A$5:$A$22,D$5,'United Games For'!N$5:N$22)</f>
        <v>11</v>
      </c>
      <c r="E16" s="16" t="n">
        <f aca="false">AVERAGEIF('United Games For'!$A$5:$A$22,E$5,'United Games For'!N$5:N$22)</f>
        <v>4.5</v>
      </c>
      <c r="F16" s="16" t="n">
        <f aca="false">AVERAGEIF('United Games For'!$A$5:$A$22,F$5,'United Games For'!N$5:N$22)</f>
        <v>7.5</v>
      </c>
      <c r="G16" s="16" t="n">
        <f aca="false">AVERAGEIF('United Games For'!$A$5:$A$22,G$5,'United Games For'!N$5:N$22)</f>
        <v>10</v>
      </c>
      <c r="H16" s="16" t="n">
        <f aca="false">AVERAGEIF('United Games For'!$A$5:$A$22,H$5,'United Games For'!N$5:N$22)</f>
        <v>10</v>
      </c>
      <c r="I16" s="16" t="n">
        <f aca="false">AVERAGEIF('United Games For'!$A$5:$A$22,I$5,'United Games For'!N$5:N$22)</f>
        <v>8</v>
      </c>
      <c r="J16" s="16" t="n">
        <f aca="false">AVERAGEIF('United Games For'!$A$5:$A$22,J$5,'United Games For'!N$5:N$22)</f>
        <v>7</v>
      </c>
      <c r="K16" s="16" t="n">
        <f aca="false">AVERAGEIF('United Games For'!$A$5:$A$22,K$5,'United Games For'!N$5:N$22)</f>
        <v>3</v>
      </c>
      <c r="L16" s="16" t="n">
        <f aca="false">AVERAGEIF('United Games For'!$A$5:$A$22,L$5,'United Games For'!N$5:N$22)</f>
        <v>5</v>
      </c>
      <c r="M16" s="16" t="n">
        <f aca="false">AVERAGEIF('United Games For'!$A$5:$A$22,M$5,'United Games For'!N$5:N$22)</f>
        <v>2.5</v>
      </c>
      <c r="N16" s="16" t="n">
        <f aca="false">AVERAGEIF('United Games For'!$A$5:$A$22,N$5,'United Games For'!N$5:N$22)</f>
        <v>13.5</v>
      </c>
      <c r="P16" s="16" t="n">
        <f aca="false">AVERAGEIF('United Games Against'!$A$5:$A$22,D$5,'United Games Against'!N$5:N$22)</f>
        <v>9</v>
      </c>
      <c r="Q16" s="16" t="n">
        <f aca="false">AVERAGEIF('United Games Against'!$A$5:$A$22,E$5,'United Games Against'!N$5:N$22)</f>
        <v>9.5</v>
      </c>
      <c r="R16" s="16" t="n">
        <f aca="false">AVERAGEIF('United Games Against'!$A$5:$A$22,F$5,'United Games Against'!N$5:N$22)</f>
        <v>6</v>
      </c>
      <c r="S16" s="16" t="n">
        <f aca="false">AVERAGEIF('United Games Against'!$A$5:$A$22,G$5,'United Games Against'!N$5:N$22)</f>
        <v>5</v>
      </c>
      <c r="T16" s="16" t="n">
        <f aca="false">AVERAGEIF('United Games Against'!$A$5:$A$22,H$5,'United Games Against'!N$5:N$22)</f>
        <v>11.5</v>
      </c>
      <c r="U16" s="16" t="n">
        <f aca="false">AVERAGEIF('United Games Against'!$A$5:$A$22,I$5,'United Games Against'!N$5:N$22)</f>
        <v>10.5</v>
      </c>
      <c r="V16" s="16" t="n">
        <f aca="false">AVERAGEIF('United Games Against'!$A$5:$A$22,J$5,'United Games Against'!N$5:N$22)</f>
        <v>17</v>
      </c>
      <c r="W16" s="16" t="n">
        <f aca="false">AVERAGEIF('United Games Against'!$A$5:$A$22,K$5,'United Games Against'!N$5:N$22)</f>
        <v>9</v>
      </c>
      <c r="X16" s="16" t="n">
        <f aca="false">AVERAGEIF('United Games Against'!$A$5:$A$22,L$5,'United Games Against'!N$5:N$22)</f>
        <v>8.5</v>
      </c>
      <c r="Y16" s="16" t="n">
        <f aca="false">AVERAGEIF('United Games Against'!$A$5:$A$22,M$5,'United Games Against'!N$5:N$22)</f>
        <v>10</v>
      </c>
      <c r="Z16" s="16" t="n">
        <f aca="false">AVERAGEIF('United Games Against'!$A$5:$A$22,N$5,'United Games Against'!N$5:N$22)</f>
        <v>7</v>
      </c>
      <c r="AB16" s="16" t="n">
        <f aca="false">D16-P16</f>
        <v>2</v>
      </c>
      <c r="AC16" s="16" t="n">
        <f aca="false">E16-Q16</f>
        <v>-5</v>
      </c>
      <c r="AD16" s="16" t="n">
        <f aca="false">F16-R16</f>
        <v>1.5</v>
      </c>
      <c r="AE16" s="16" t="n">
        <f aca="false">G16-S16</f>
        <v>5</v>
      </c>
      <c r="AF16" s="16" t="n">
        <f aca="false">H16-T16</f>
        <v>-1.5</v>
      </c>
      <c r="AG16" s="16" t="n">
        <f aca="false">I16-U16</f>
        <v>-2.5</v>
      </c>
      <c r="AH16" s="16" t="n">
        <f aca="false">J16-V16</f>
        <v>-10</v>
      </c>
      <c r="AI16" s="16" t="n">
        <f aca="false">K16-W16</f>
        <v>-6</v>
      </c>
      <c r="AJ16" s="16" t="n">
        <f aca="false">L16-X16</f>
        <v>-3.5</v>
      </c>
      <c r="AK16" s="16" t="n">
        <f aca="false">M16-Y16</f>
        <v>-7.5</v>
      </c>
      <c r="AL16" s="16" t="n">
        <f aca="false">N16-Z16</f>
        <v>6.5</v>
      </c>
    </row>
    <row r="17" customFormat="false" ht="15" hidden="false" customHeight="false" outlineLevel="0" collapsed="false">
      <c r="A17" s="6" t="s">
        <v>119</v>
      </c>
      <c r="B17" s="7" t="s">
        <v>120</v>
      </c>
      <c r="C17" s="38" t="s">
        <v>179</v>
      </c>
      <c r="D17" s="16" t="n">
        <f aca="false">AVERAGEIF('United Games For'!$A$5:$A$22,D$5,'United Games For'!O$5:O$22)</f>
        <v>149</v>
      </c>
      <c r="E17" s="16" t="n">
        <f aca="false">AVERAGEIF('United Games For'!$A$5:$A$22,E$5,'United Games For'!O$5:O$22)</f>
        <v>103</v>
      </c>
      <c r="F17" s="16" t="n">
        <f aca="false">AVERAGEIF('United Games For'!$A$5:$A$22,F$5,'United Games For'!O$5:O$22)</f>
        <v>111</v>
      </c>
      <c r="G17" s="16" t="n">
        <f aca="false">AVERAGEIF('United Games For'!$A$5:$A$22,G$5,'United Games For'!O$5:O$22)</f>
        <v>109</v>
      </c>
      <c r="H17" s="16" t="n">
        <f aca="false">AVERAGEIF('United Games For'!$A$5:$A$22,H$5,'United Games For'!O$5:O$22)</f>
        <v>118</v>
      </c>
      <c r="I17" s="16" t="n">
        <f aca="false">AVERAGEIF('United Games For'!$A$5:$A$22,I$5,'United Games For'!O$5:O$22)</f>
        <v>87.5</v>
      </c>
      <c r="J17" s="16" t="n">
        <f aca="false">AVERAGEIF('United Games For'!$A$5:$A$22,J$5,'United Games For'!O$5:O$22)</f>
        <v>99</v>
      </c>
      <c r="K17" s="16" t="n">
        <f aca="false">AVERAGEIF('United Games For'!$A$5:$A$22,K$5,'United Games For'!O$5:O$22)</f>
        <v>118</v>
      </c>
      <c r="L17" s="16" t="n">
        <f aca="false">AVERAGEIF('United Games For'!$A$5:$A$22,L$5,'United Games For'!O$5:O$22)</f>
        <v>71.5</v>
      </c>
      <c r="M17" s="16" t="n">
        <f aca="false">AVERAGEIF('United Games For'!$A$5:$A$22,M$5,'United Games For'!O$5:O$22)</f>
        <v>101</v>
      </c>
      <c r="N17" s="16" t="n">
        <f aca="false">AVERAGEIF('United Games For'!$A$5:$A$22,N$5,'United Games For'!O$5:O$22)</f>
        <v>164.5</v>
      </c>
      <c r="P17" s="16" t="n">
        <f aca="false">AVERAGEIF('United Games Against'!$A$5:$A$22,D$5,'United Games Against'!O$5:O$22)</f>
        <v>61</v>
      </c>
      <c r="Q17" s="16" t="n">
        <f aca="false">AVERAGEIF('United Games Against'!$A$5:$A$22,E$5,'United Games Against'!O$5:O$22)</f>
        <v>97</v>
      </c>
      <c r="R17" s="16" t="n">
        <f aca="false">AVERAGEIF('United Games Against'!$A$5:$A$22,F$5,'United Games Against'!O$5:O$22)</f>
        <v>84</v>
      </c>
      <c r="S17" s="16" t="n">
        <f aca="false">AVERAGEIF('United Games Against'!$A$5:$A$22,G$5,'United Games Against'!O$5:O$22)</f>
        <v>105</v>
      </c>
      <c r="T17" s="16" t="n">
        <f aca="false">AVERAGEIF('United Games Against'!$A$5:$A$22,H$5,'United Games Against'!O$5:O$22)</f>
        <v>82</v>
      </c>
      <c r="U17" s="16" t="n">
        <f aca="false">AVERAGEIF('United Games Against'!$A$5:$A$22,I$5,'United Games Against'!O$5:O$22)</f>
        <v>72.5</v>
      </c>
      <c r="V17" s="16" t="n">
        <f aca="false">AVERAGEIF('United Games Against'!$A$5:$A$22,J$5,'United Games Against'!O$5:O$22)</f>
        <v>89</v>
      </c>
      <c r="W17" s="16" t="n">
        <f aca="false">AVERAGEIF('United Games Against'!$A$5:$A$22,K$5,'United Games Against'!O$5:O$22)</f>
        <v>64</v>
      </c>
      <c r="X17" s="16" t="n">
        <f aca="false">AVERAGEIF('United Games Against'!$A$5:$A$22,L$5,'United Games Against'!O$5:O$22)</f>
        <v>97</v>
      </c>
      <c r="Y17" s="16" t="n">
        <f aca="false">AVERAGEIF('United Games Against'!$A$5:$A$22,M$5,'United Games Against'!O$5:O$22)</f>
        <v>106</v>
      </c>
      <c r="Z17" s="16" t="n">
        <f aca="false">AVERAGEIF('United Games Against'!$A$5:$A$22,N$5,'United Games Against'!O$5:O$22)</f>
        <v>95.5</v>
      </c>
      <c r="AB17" s="16" t="n">
        <f aca="false">D17-P17</f>
        <v>88</v>
      </c>
      <c r="AC17" s="16" t="n">
        <f aca="false">E17-Q17</f>
        <v>6</v>
      </c>
      <c r="AD17" s="16" t="n">
        <f aca="false">F17-R17</f>
        <v>27</v>
      </c>
      <c r="AE17" s="16" t="n">
        <f aca="false">G17-S17</f>
        <v>4</v>
      </c>
      <c r="AF17" s="16" t="n">
        <f aca="false">H17-T17</f>
        <v>36</v>
      </c>
      <c r="AG17" s="16" t="n">
        <f aca="false">I17-U17</f>
        <v>15</v>
      </c>
      <c r="AH17" s="16" t="n">
        <f aca="false">J17-V17</f>
        <v>10</v>
      </c>
      <c r="AI17" s="16" t="n">
        <f aca="false">K17-W17</f>
        <v>54</v>
      </c>
      <c r="AJ17" s="16" t="n">
        <f aca="false">L17-X17</f>
        <v>-25.5</v>
      </c>
      <c r="AK17" s="16" t="n">
        <f aca="false">M17-Y17</f>
        <v>-5</v>
      </c>
      <c r="AL17" s="16" t="n">
        <f aca="false">N17-Z17</f>
        <v>69</v>
      </c>
    </row>
    <row r="18" customFormat="false" ht="15" hidden="false" customHeight="false" outlineLevel="0" collapsed="false">
      <c r="A18" s="6" t="s">
        <v>47</v>
      </c>
      <c r="B18" s="7" t="s">
        <v>48</v>
      </c>
      <c r="C18" s="38" t="s">
        <v>179</v>
      </c>
      <c r="D18" s="16" t="n">
        <f aca="false">AVERAGEIF('United Games For'!$A$5:$A$22,D$5,'United Games For'!P$5:P$22)</f>
        <v>8</v>
      </c>
      <c r="E18" s="16" t="n">
        <f aca="false">AVERAGEIF('United Games For'!$A$5:$A$22,E$5,'United Games For'!P$5:P$22)</f>
        <v>13</v>
      </c>
      <c r="F18" s="16" t="n">
        <f aca="false">AVERAGEIF('United Games For'!$A$5:$A$22,F$5,'United Games For'!P$5:P$22)</f>
        <v>18</v>
      </c>
      <c r="G18" s="16" t="n">
        <f aca="false">AVERAGEIF('United Games For'!$A$5:$A$22,G$5,'United Games For'!P$5:P$22)</f>
        <v>10</v>
      </c>
      <c r="H18" s="16" t="n">
        <f aca="false">AVERAGEIF('United Games For'!$A$5:$A$22,H$5,'United Games For'!P$5:P$22)</f>
        <v>16</v>
      </c>
      <c r="I18" s="16" t="n">
        <f aca="false">AVERAGEIF('United Games For'!$A$5:$A$22,I$5,'United Games For'!P$5:P$22)</f>
        <v>16</v>
      </c>
      <c r="J18" s="16" t="n">
        <f aca="false">AVERAGEIF('United Games For'!$A$5:$A$22,J$5,'United Games For'!P$5:P$22)</f>
        <v>18</v>
      </c>
      <c r="K18" s="16" t="n">
        <f aca="false">AVERAGEIF('United Games For'!$A$5:$A$22,K$5,'United Games For'!P$5:P$22)</f>
        <v>10</v>
      </c>
      <c r="L18" s="16" t="n">
        <f aca="false">AVERAGEIF('United Games For'!$A$5:$A$22,L$5,'United Games For'!P$5:P$22)</f>
        <v>11.5</v>
      </c>
      <c r="M18" s="16" t="n">
        <f aca="false">AVERAGEIF('United Games For'!$A$5:$A$22,M$5,'United Games For'!P$5:P$22)</f>
        <v>15</v>
      </c>
      <c r="N18" s="16" t="n">
        <f aca="false">AVERAGEIF('United Games For'!$A$5:$A$22,N$5,'United Games For'!P$5:P$22)</f>
        <v>16.5</v>
      </c>
      <c r="P18" s="16" t="n">
        <f aca="false">AVERAGEIF('United Games Against'!$A$5:$A$22,D$5,'United Games Against'!P$5:P$22)</f>
        <v>9</v>
      </c>
      <c r="Q18" s="16" t="n">
        <f aca="false">AVERAGEIF('United Games Against'!$A$5:$A$22,E$5,'United Games Against'!P$5:P$22)</f>
        <v>11.5</v>
      </c>
      <c r="R18" s="16" t="n">
        <f aca="false">AVERAGEIF('United Games Against'!$A$5:$A$22,F$5,'United Games Against'!P$5:P$22)</f>
        <v>9.5</v>
      </c>
      <c r="S18" s="16" t="n">
        <f aca="false">AVERAGEIF('United Games Against'!$A$5:$A$22,G$5,'United Games Against'!P$5:P$22)</f>
        <v>15</v>
      </c>
      <c r="T18" s="16" t="n">
        <f aca="false">AVERAGEIF('United Games Against'!$A$5:$A$22,H$5,'United Games Against'!P$5:P$22)</f>
        <v>18</v>
      </c>
      <c r="U18" s="16" t="n">
        <f aca="false">AVERAGEIF('United Games Against'!$A$5:$A$22,I$5,'United Games Against'!P$5:P$22)</f>
        <v>8</v>
      </c>
      <c r="V18" s="16" t="n">
        <f aca="false">AVERAGEIF('United Games Against'!$A$5:$A$22,J$5,'United Games Against'!P$5:P$22)</f>
        <v>13</v>
      </c>
      <c r="W18" s="16" t="n">
        <f aca="false">AVERAGEIF('United Games Against'!$A$5:$A$22,K$5,'United Games Against'!P$5:P$22)</f>
        <v>10</v>
      </c>
      <c r="X18" s="16" t="n">
        <f aca="false">AVERAGEIF('United Games Against'!$A$5:$A$22,L$5,'United Games Against'!P$5:P$22)</f>
        <v>10.5</v>
      </c>
      <c r="Y18" s="16" t="n">
        <f aca="false">AVERAGEIF('United Games Against'!$A$5:$A$22,M$5,'United Games Against'!P$5:P$22)</f>
        <v>14</v>
      </c>
      <c r="Z18" s="16" t="n">
        <f aca="false">AVERAGEIF('United Games Against'!$A$5:$A$22,N$5,'United Games Against'!P$5:P$22)</f>
        <v>11</v>
      </c>
      <c r="AB18" s="16" t="n">
        <f aca="false">D18-P18</f>
        <v>-1</v>
      </c>
      <c r="AC18" s="16" t="n">
        <f aca="false">E18-Q18</f>
        <v>1.5</v>
      </c>
      <c r="AD18" s="16" t="n">
        <f aca="false">F18-R18</f>
        <v>8.5</v>
      </c>
      <c r="AE18" s="16" t="n">
        <f aca="false">G18-S18</f>
        <v>-5</v>
      </c>
      <c r="AF18" s="16" t="n">
        <f aca="false">H18-T18</f>
        <v>-2</v>
      </c>
      <c r="AG18" s="16" t="n">
        <f aca="false">I18-U18</f>
        <v>8</v>
      </c>
      <c r="AH18" s="16" t="n">
        <f aca="false">J18-V18</f>
        <v>5</v>
      </c>
      <c r="AI18" s="16" t="n">
        <f aca="false">K18-W18</f>
        <v>0</v>
      </c>
      <c r="AJ18" s="16" t="n">
        <f aca="false">L18-X18</f>
        <v>1</v>
      </c>
      <c r="AK18" s="16" t="n">
        <f aca="false">M18-Y18</f>
        <v>1</v>
      </c>
      <c r="AL18" s="16" t="n">
        <f aca="false">N18-Z18</f>
        <v>5.5</v>
      </c>
    </row>
    <row r="19" customFormat="false" ht="15" hidden="false" customHeight="false" outlineLevel="0" collapsed="false">
      <c r="A19" s="6" t="s">
        <v>161</v>
      </c>
      <c r="B19" s="7" t="s">
        <v>162</v>
      </c>
      <c r="C19" s="38" t="s">
        <v>179</v>
      </c>
      <c r="D19" s="16" t="n">
        <f aca="false">AVERAGEIF('United Games For'!$A$5:$A$22,D$5,'United Games For'!Q$5:Q$22)</f>
        <v>141</v>
      </c>
      <c r="E19" s="16" t="n">
        <f aca="false">AVERAGEIF('United Games For'!$A$5:$A$22,E$5,'United Games For'!Q$5:Q$22)</f>
        <v>90</v>
      </c>
      <c r="F19" s="16" t="n">
        <f aca="false">AVERAGEIF('United Games For'!$A$5:$A$22,F$5,'United Games For'!Q$5:Q$22)</f>
        <v>93</v>
      </c>
      <c r="G19" s="16" t="n">
        <f aca="false">AVERAGEIF('United Games For'!$A$5:$A$22,G$5,'United Games For'!Q$5:Q$22)</f>
        <v>99</v>
      </c>
      <c r="H19" s="16" t="n">
        <f aca="false">AVERAGEIF('United Games For'!$A$5:$A$22,H$5,'United Games For'!Q$5:Q$22)</f>
        <v>102</v>
      </c>
      <c r="I19" s="16" t="n">
        <f aca="false">AVERAGEIF('United Games For'!$A$5:$A$22,I$5,'United Games For'!Q$5:Q$22)</f>
        <v>71.5</v>
      </c>
      <c r="J19" s="16" t="n">
        <f aca="false">AVERAGEIF('United Games For'!$A$5:$A$22,J$5,'United Games For'!Q$5:Q$22)</f>
        <v>81</v>
      </c>
      <c r="K19" s="16" t="n">
        <f aca="false">AVERAGEIF('United Games For'!$A$5:$A$22,K$5,'United Games For'!Q$5:Q$22)</f>
        <v>108</v>
      </c>
      <c r="L19" s="16" t="n">
        <f aca="false">AVERAGEIF('United Games For'!$A$5:$A$22,L$5,'United Games For'!Q$5:Q$22)</f>
        <v>60</v>
      </c>
      <c r="M19" s="16" t="n">
        <f aca="false">AVERAGEIF('United Games For'!$A$5:$A$22,M$5,'United Games For'!Q$5:Q$22)</f>
        <v>86</v>
      </c>
      <c r="N19" s="16" t="n">
        <f aca="false">AVERAGEIF('United Games For'!$A$5:$A$22,N$5,'United Games For'!Q$5:Q$22)</f>
        <v>148</v>
      </c>
      <c r="P19" s="16" t="n">
        <f aca="false">AVERAGEIF('United Games Against'!$A$5:$A$22,D$5,'United Games Against'!Q$5:Q$22)</f>
        <v>52</v>
      </c>
      <c r="Q19" s="16" t="n">
        <f aca="false">AVERAGEIF('United Games Against'!$A$5:$A$22,E$5,'United Games Against'!Q$5:Q$22)</f>
        <v>85.5</v>
      </c>
      <c r="R19" s="16" t="n">
        <f aca="false">AVERAGEIF('United Games Against'!$A$5:$A$22,F$5,'United Games Against'!Q$5:Q$22)</f>
        <v>74.5</v>
      </c>
      <c r="S19" s="16" t="n">
        <f aca="false">AVERAGEIF('United Games Against'!$A$5:$A$22,G$5,'United Games Against'!Q$5:Q$22)</f>
        <v>90</v>
      </c>
      <c r="T19" s="16" t="n">
        <f aca="false">AVERAGEIF('United Games Against'!$A$5:$A$22,H$5,'United Games Against'!Q$5:Q$22)</f>
        <v>64</v>
      </c>
      <c r="U19" s="16" t="n">
        <f aca="false">AVERAGEIF('United Games Against'!$A$5:$A$22,I$5,'United Games Against'!Q$5:Q$22)</f>
        <v>64.5</v>
      </c>
      <c r="V19" s="16" t="n">
        <f aca="false">AVERAGEIF('United Games Against'!$A$5:$A$22,J$5,'United Games Against'!Q$5:Q$22)</f>
        <v>76</v>
      </c>
      <c r="W19" s="16" t="n">
        <f aca="false">AVERAGEIF('United Games Against'!$A$5:$A$22,K$5,'United Games Against'!Q$5:Q$22)</f>
        <v>54</v>
      </c>
      <c r="X19" s="16" t="n">
        <f aca="false">AVERAGEIF('United Games Against'!$A$5:$A$22,L$5,'United Games Against'!Q$5:Q$22)</f>
        <v>86.5</v>
      </c>
      <c r="Y19" s="16" t="n">
        <f aca="false">AVERAGEIF('United Games Against'!$A$5:$A$22,M$5,'United Games Against'!Q$5:Q$22)</f>
        <v>92</v>
      </c>
      <c r="Z19" s="16" t="n">
        <f aca="false">AVERAGEIF('United Games Against'!$A$5:$A$22,N$5,'United Games Against'!Q$5:Q$22)</f>
        <v>84.5</v>
      </c>
      <c r="AB19" s="16" t="n">
        <f aca="false">D19-P19</f>
        <v>89</v>
      </c>
      <c r="AC19" s="16" t="n">
        <f aca="false">E19-Q19</f>
        <v>4.5</v>
      </c>
      <c r="AD19" s="16" t="n">
        <f aca="false">F19-R19</f>
        <v>18.5</v>
      </c>
      <c r="AE19" s="16" t="n">
        <f aca="false">G19-S19</f>
        <v>9</v>
      </c>
      <c r="AF19" s="16" t="n">
        <f aca="false">H19-T19</f>
        <v>38</v>
      </c>
      <c r="AG19" s="16" t="n">
        <f aca="false">I19-U19</f>
        <v>7</v>
      </c>
      <c r="AH19" s="16" t="n">
        <f aca="false">J19-V19</f>
        <v>5</v>
      </c>
      <c r="AI19" s="16" t="n">
        <f aca="false">K19-W19</f>
        <v>54</v>
      </c>
      <c r="AJ19" s="16" t="n">
        <f aca="false">L19-X19</f>
        <v>-26.5</v>
      </c>
      <c r="AK19" s="16" t="n">
        <f aca="false">M19-Y19</f>
        <v>-6</v>
      </c>
      <c r="AL19" s="16" t="n">
        <f aca="false">N19-Z19</f>
        <v>63.5</v>
      </c>
    </row>
    <row r="20" customFormat="false" ht="15" hidden="false" customHeight="false" outlineLevel="0" collapsed="false">
      <c r="A20" s="6" t="s">
        <v>101</v>
      </c>
      <c r="B20" s="7" t="s">
        <v>102</v>
      </c>
      <c r="C20" s="38" t="s">
        <v>179</v>
      </c>
      <c r="D20" s="16" t="n">
        <f aca="false">AVERAGEIF('United Games For'!$A$5:$A$22,D$5,'United Games For'!R$5:R$22)</f>
        <v>14</v>
      </c>
      <c r="E20" s="16" t="n">
        <f aca="false">AVERAGEIF('United Games For'!$A$5:$A$22,E$5,'United Games For'!R$5:R$22)</f>
        <v>18</v>
      </c>
      <c r="F20" s="16" t="n">
        <f aca="false">AVERAGEIF('United Games For'!$A$5:$A$22,F$5,'United Games For'!R$5:R$22)</f>
        <v>16</v>
      </c>
      <c r="G20" s="16" t="n">
        <f aca="false">AVERAGEIF('United Games For'!$A$5:$A$22,G$5,'United Games For'!R$5:R$22)</f>
        <v>14</v>
      </c>
      <c r="H20" s="16" t="n">
        <f aca="false">AVERAGEIF('United Games For'!$A$5:$A$22,H$5,'United Games For'!R$5:R$22)</f>
        <v>16.5</v>
      </c>
      <c r="I20" s="16" t="n">
        <f aca="false">AVERAGEIF('United Games For'!$A$5:$A$22,I$5,'United Games For'!R$5:R$22)</f>
        <v>14.5</v>
      </c>
      <c r="J20" s="16" t="n">
        <f aca="false">AVERAGEIF('United Games For'!$A$5:$A$22,J$5,'United Games For'!R$5:R$22)</f>
        <v>19</v>
      </c>
      <c r="K20" s="16" t="n">
        <f aca="false">AVERAGEIF('United Games For'!$A$5:$A$22,K$5,'United Games For'!R$5:R$22)</f>
        <v>17</v>
      </c>
      <c r="L20" s="16" t="n">
        <f aca="false">AVERAGEIF('United Games For'!$A$5:$A$22,L$5,'United Games For'!R$5:R$22)</f>
        <v>16</v>
      </c>
      <c r="M20" s="16" t="n">
        <f aca="false">AVERAGEIF('United Games For'!$A$5:$A$22,M$5,'United Games For'!R$5:R$22)</f>
        <v>19</v>
      </c>
      <c r="N20" s="16" t="n">
        <f aca="false">AVERAGEIF('United Games For'!$A$5:$A$22,N$5,'United Games For'!R$5:R$22)</f>
        <v>19.5</v>
      </c>
      <c r="P20" s="16" t="n">
        <f aca="false">AVERAGEIF('United Games Against'!$A$5:$A$22,D$5,'United Games Against'!R$5:R$22)</f>
        <v>9</v>
      </c>
      <c r="Q20" s="16" t="n">
        <f aca="false">AVERAGEIF('United Games Against'!$A$5:$A$22,E$5,'United Games Against'!R$5:R$22)</f>
        <v>13</v>
      </c>
      <c r="R20" s="16" t="n">
        <f aca="false">AVERAGEIF('United Games Against'!$A$5:$A$22,F$5,'United Games Against'!R$5:R$22)</f>
        <v>13</v>
      </c>
      <c r="S20" s="16" t="n">
        <f aca="false">AVERAGEIF('United Games Against'!$A$5:$A$22,G$5,'United Games Against'!R$5:R$22)</f>
        <v>13</v>
      </c>
      <c r="T20" s="16" t="n">
        <f aca="false">AVERAGEIF('United Games Against'!$A$5:$A$22,H$5,'United Games Against'!R$5:R$22)</f>
        <v>16</v>
      </c>
      <c r="U20" s="16" t="n">
        <f aca="false">AVERAGEIF('United Games Against'!$A$5:$A$22,I$5,'United Games Against'!R$5:R$22)</f>
        <v>6.5</v>
      </c>
      <c r="V20" s="16" t="n">
        <f aca="false">AVERAGEIF('United Games Against'!$A$5:$A$22,J$5,'United Games Against'!R$5:R$22)</f>
        <v>16</v>
      </c>
      <c r="W20" s="16" t="n">
        <f aca="false">AVERAGEIF('United Games Against'!$A$5:$A$22,K$5,'United Games Against'!R$5:R$22)</f>
        <v>9</v>
      </c>
      <c r="X20" s="16" t="n">
        <f aca="false">AVERAGEIF('United Games Against'!$A$5:$A$22,L$5,'United Games Against'!R$5:R$22)</f>
        <v>15</v>
      </c>
      <c r="Y20" s="16" t="n">
        <f aca="false">AVERAGEIF('United Games Against'!$A$5:$A$22,M$5,'United Games Against'!R$5:R$22)</f>
        <v>15</v>
      </c>
      <c r="Z20" s="16" t="n">
        <f aca="false">AVERAGEIF('United Games Against'!$A$5:$A$22,N$5,'United Games Against'!R$5:R$22)</f>
        <v>17</v>
      </c>
      <c r="AB20" s="16" t="n">
        <f aca="false">D20-P20</f>
        <v>5</v>
      </c>
      <c r="AC20" s="16" t="n">
        <f aca="false">E20-Q20</f>
        <v>5</v>
      </c>
      <c r="AD20" s="16" t="n">
        <f aca="false">F20-R20</f>
        <v>3</v>
      </c>
      <c r="AE20" s="16" t="n">
        <f aca="false">G20-S20</f>
        <v>1</v>
      </c>
      <c r="AF20" s="16" t="n">
        <f aca="false">H20-T20</f>
        <v>0.5</v>
      </c>
      <c r="AG20" s="16" t="n">
        <f aca="false">I20-U20</f>
        <v>8</v>
      </c>
      <c r="AH20" s="16" t="n">
        <f aca="false">J20-V20</f>
        <v>3</v>
      </c>
      <c r="AI20" s="16" t="n">
        <f aca="false">K20-W20</f>
        <v>8</v>
      </c>
      <c r="AJ20" s="16" t="n">
        <f aca="false">L20-X20</f>
        <v>1</v>
      </c>
      <c r="AK20" s="16" t="n">
        <f aca="false">M20-Y20</f>
        <v>4</v>
      </c>
      <c r="AL20" s="16" t="n">
        <f aca="false">N20-Z20</f>
        <v>2.5</v>
      </c>
    </row>
    <row r="21" customFormat="false" ht="15" hidden="false" customHeight="false" outlineLevel="0" collapsed="false">
      <c r="A21" s="6" t="s">
        <v>121</v>
      </c>
      <c r="B21" s="7" t="s">
        <v>122</v>
      </c>
      <c r="C21" s="38" t="s">
        <v>179</v>
      </c>
      <c r="D21" s="16" t="n">
        <f aca="false">AVERAGEIF('United Games For'!$A$5:$A$22,D$5,'United Games For'!S$5:S$22)</f>
        <v>21</v>
      </c>
      <c r="E21" s="16" t="n">
        <f aca="false">AVERAGEIF('United Games For'!$A$5:$A$22,E$5,'United Games For'!S$5:S$22)</f>
        <v>12</v>
      </c>
      <c r="F21" s="16" t="n">
        <f aca="false">AVERAGEIF('United Games For'!$A$5:$A$22,F$5,'United Games For'!S$5:S$22)</f>
        <v>19.5</v>
      </c>
      <c r="G21" s="16" t="n">
        <f aca="false">AVERAGEIF('United Games For'!$A$5:$A$22,G$5,'United Games For'!S$5:S$22)</f>
        <v>18</v>
      </c>
      <c r="H21" s="16" t="n">
        <f aca="false">AVERAGEIF('United Games For'!$A$5:$A$22,H$5,'United Games For'!S$5:S$22)</f>
        <v>14</v>
      </c>
      <c r="I21" s="16" t="n">
        <f aca="false">AVERAGEIF('United Games For'!$A$5:$A$22,I$5,'United Games For'!S$5:S$22)</f>
        <v>10.5</v>
      </c>
      <c r="J21" s="16" t="n">
        <f aca="false">AVERAGEIF('United Games For'!$A$5:$A$22,J$5,'United Games For'!S$5:S$22)</f>
        <v>10</v>
      </c>
      <c r="K21" s="16" t="n">
        <f aca="false">AVERAGEIF('United Games For'!$A$5:$A$22,K$5,'United Games For'!S$5:S$22)</f>
        <v>16</v>
      </c>
      <c r="L21" s="16" t="n">
        <f aca="false">AVERAGEIF('United Games For'!$A$5:$A$22,L$5,'United Games For'!S$5:S$22)</f>
        <v>7</v>
      </c>
      <c r="M21" s="16" t="n">
        <f aca="false">AVERAGEIF('United Games For'!$A$5:$A$22,M$5,'United Games For'!S$5:S$22)</f>
        <v>11.5</v>
      </c>
      <c r="N21" s="16" t="n">
        <f aca="false">AVERAGEIF('United Games For'!$A$5:$A$22,N$5,'United Games For'!S$5:S$22)</f>
        <v>29</v>
      </c>
      <c r="P21" s="16" t="n">
        <f aca="false">AVERAGEIF('United Games Against'!$A$5:$A$22,D$5,'United Games Against'!S$5:S$22)</f>
        <v>7</v>
      </c>
      <c r="Q21" s="16" t="n">
        <f aca="false">AVERAGEIF('United Games Against'!$A$5:$A$22,E$5,'United Games Against'!S$5:S$22)</f>
        <v>18.5</v>
      </c>
      <c r="R21" s="16" t="n">
        <f aca="false">AVERAGEIF('United Games Against'!$A$5:$A$22,F$5,'United Games Against'!S$5:S$22)</f>
        <v>12.5</v>
      </c>
      <c r="S21" s="16" t="n">
        <f aca="false">AVERAGEIF('United Games Against'!$A$5:$A$22,G$5,'United Games Against'!S$5:S$22)</f>
        <v>7</v>
      </c>
      <c r="T21" s="16" t="n">
        <f aca="false">AVERAGEIF('United Games Against'!$A$5:$A$22,H$5,'United Games Against'!S$5:S$22)</f>
        <v>14</v>
      </c>
      <c r="U21" s="16" t="n">
        <f aca="false">AVERAGEIF('United Games Against'!$A$5:$A$22,I$5,'United Games Against'!S$5:S$22)</f>
        <v>6.5</v>
      </c>
      <c r="V21" s="16" t="n">
        <f aca="false">AVERAGEIF('United Games Against'!$A$5:$A$22,J$5,'United Games Against'!S$5:S$22)</f>
        <v>13</v>
      </c>
      <c r="W21" s="16" t="n">
        <f aca="false">AVERAGEIF('United Games Against'!$A$5:$A$22,K$5,'United Games Against'!S$5:S$22)</f>
        <v>7</v>
      </c>
      <c r="X21" s="16" t="n">
        <f aca="false">AVERAGEIF('United Games Against'!$A$5:$A$22,L$5,'United Games Against'!S$5:S$22)</f>
        <v>16</v>
      </c>
      <c r="Y21" s="16" t="n">
        <f aca="false">AVERAGEIF('United Games Against'!$A$5:$A$22,M$5,'United Games Against'!S$5:S$22)</f>
        <v>12.5</v>
      </c>
      <c r="Z21" s="16" t="n">
        <f aca="false">AVERAGEIF('United Games Against'!$A$5:$A$22,N$5,'United Games Against'!S$5:S$22)</f>
        <v>5</v>
      </c>
      <c r="AB21" s="16" t="n">
        <f aca="false">D21-P21</f>
        <v>14</v>
      </c>
      <c r="AC21" s="16" t="n">
        <f aca="false">E21-Q21</f>
        <v>-6.5</v>
      </c>
      <c r="AD21" s="16" t="n">
        <f aca="false">F21-R21</f>
        <v>7</v>
      </c>
      <c r="AE21" s="16" t="n">
        <f aca="false">G21-S21</f>
        <v>11</v>
      </c>
      <c r="AF21" s="16" t="n">
        <f aca="false">H21-T21</f>
        <v>0</v>
      </c>
      <c r="AG21" s="16" t="n">
        <f aca="false">I21-U21</f>
        <v>4</v>
      </c>
      <c r="AH21" s="16" t="n">
        <f aca="false">J21-V21</f>
        <v>-3</v>
      </c>
      <c r="AI21" s="16" t="n">
        <f aca="false">K21-W21</f>
        <v>9</v>
      </c>
      <c r="AJ21" s="16" t="n">
        <f aca="false">L21-X21</f>
        <v>-9</v>
      </c>
      <c r="AK21" s="16" t="n">
        <f aca="false">M21-Y21</f>
        <v>-1</v>
      </c>
      <c r="AL21" s="16" t="n">
        <f aca="false">N21-Z21</f>
        <v>24</v>
      </c>
    </row>
    <row r="22" customFormat="false" ht="15" hidden="false" customHeight="false" outlineLevel="0" collapsed="false">
      <c r="A22" s="6" t="s">
        <v>139</v>
      </c>
      <c r="B22" s="7" t="s">
        <v>140</v>
      </c>
      <c r="C22" s="38" t="s">
        <v>179</v>
      </c>
      <c r="D22" s="16" t="n">
        <f aca="false">AVERAGEIF('United Games For'!$A$5:$A$22,D$5,'United Games For'!T$5:T$22)</f>
        <v>1932</v>
      </c>
      <c r="E22" s="16" t="n">
        <f aca="false">AVERAGEIF('United Games For'!$A$5:$A$22,E$5,'United Games For'!T$5:T$22)</f>
        <v>1501</v>
      </c>
      <c r="F22" s="16" t="n">
        <f aca="false">AVERAGEIF('United Games For'!$A$5:$A$22,F$5,'United Games For'!T$5:T$22)</f>
        <v>1501.5</v>
      </c>
      <c r="G22" s="16" t="n">
        <f aca="false">AVERAGEIF('United Games For'!$A$5:$A$22,G$5,'United Games For'!T$5:T$22)</f>
        <v>1657</v>
      </c>
      <c r="H22" s="16" t="n">
        <f aca="false">AVERAGEIF('United Games For'!$A$5:$A$22,H$5,'United Games For'!T$5:T$22)</f>
        <v>1642.5</v>
      </c>
      <c r="I22" s="16" t="n">
        <f aca="false">AVERAGEIF('United Games For'!$A$5:$A$22,I$5,'United Games For'!T$5:T$22)</f>
        <v>1515.5</v>
      </c>
      <c r="J22" s="16" t="n">
        <f aca="false">AVERAGEIF('United Games For'!$A$5:$A$22,J$5,'United Games For'!T$5:T$22)</f>
        <v>1415</v>
      </c>
      <c r="K22" s="16" t="n">
        <f aca="false">AVERAGEIF('United Games For'!$A$5:$A$22,K$5,'United Games For'!T$5:T$22)</f>
        <v>1633</v>
      </c>
      <c r="L22" s="16" t="n">
        <f aca="false">AVERAGEIF('United Games For'!$A$5:$A$22,L$5,'United Games For'!T$5:T$22)</f>
        <v>1257.5</v>
      </c>
      <c r="M22" s="16" t="n">
        <f aca="false">AVERAGEIF('United Games For'!$A$5:$A$22,M$5,'United Games For'!T$5:T$22)</f>
        <v>1712.5</v>
      </c>
      <c r="N22" s="16" t="n">
        <f aca="false">AVERAGEIF('United Games For'!$A$5:$A$22,N$5,'United Games For'!T$5:T$22)</f>
        <v>2110.5</v>
      </c>
      <c r="P22" s="16" t="n">
        <f aca="false">AVERAGEIF('United Games Against'!$A$5:$A$22,D$5,'United Games Against'!T$5:T$22)</f>
        <v>1179</v>
      </c>
      <c r="Q22" s="16" t="n">
        <f aca="false">AVERAGEIF('United Games Against'!$A$5:$A$22,E$5,'United Games Against'!T$5:T$22)</f>
        <v>1793</v>
      </c>
      <c r="R22" s="16" t="n">
        <f aca="false">AVERAGEIF('United Games Against'!$A$5:$A$22,F$5,'United Games Against'!T$5:T$22)</f>
        <v>1316</v>
      </c>
      <c r="S22" s="16" t="n">
        <f aca="false">AVERAGEIF('United Games Against'!$A$5:$A$22,G$5,'United Games Against'!T$5:T$22)</f>
        <v>1540</v>
      </c>
      <c r="T22" s="16" t="n">
        <f aca="false">AVERAGEIF('United Games Against'!$A$5:$A$22,H$5,'United Games Against'!T$5:T$22)</f>
        <v>1544</v>
      </c>
      <c r="U22" s="16" t="n">
        <f aca="false">AVERAGEIF('United Games Against'!$A$5:$A$22,I$5,'United Games Against'!T$5:T$22)</f>
        <v>1444.5</v>
      </c>
      <c r="V22" s="16" t="n">
        <f aca="false">AVERAGEIF('United Games Against'!$A$5:$A$22,J$5,'United Games Against'!T$5:T$22)</f>
        <v>1593</v>
      </c>
      <c r="W22" s="16" t="n">
        <f aca="false">AVERAGEIF('United Games Against'!$A$5:$A$22,K$5,'United Games Against'!T$5:T$22)</f>
        <v>1278</v>
      </c>
      <c r="X22" s="16" t="n">
        <f aca="false">AVERAGEIF('United Games Against'!$A$5:$A$22,L$5,'United Games Against'!T$5:T$22)</f>
        <v>1556.5</v>
      </c>
      <c r="Y22" s="16" t="n">
        <f aca="false">AVERAGEIF('United Games Against'!$A$5:$A$22,M$5,'United Games Against'!T$5:T$22)</f>
        <v>1579</v>
      </c>
      <c r="Z22" s="16" t="n">
        <f aca="false">AVERAGEIF('United Games Against'!$A$5:$A$22,N$5,'United Games Against'!T$5:T$22)</f>
        <v>1255.5</v>
      </c>
      <c r="AB22" s="16" t="n">
        <f aca="false">D22-P22</f>
        <v>753</v>
      </c>
      <c r="AC22" s="16" t="n">
        <f aca="false">E22-Q22</f>
        <v>-292</v>
      </c>
      <c r="AD22" s="16" t="n">
        <f aca="false">F22-R22</f>
        <v>185.5</v>
      </c>
      <c r="AE22" s="16" t="n">
        <f aca="false">G22-S22</f>
        <v>117</v>
      </c>
      <c r="AF22" s="16" t="n">
        <f aca="false">H22-T22</f>
        <v>98.5</v>
      </c>
      <c r="AG22" s="16" t="n">
        <f aca="false">I22-U22</f>
        <v>71</v>
      </c>
      <c r="AH22" s="16" t="n">
        <f aca="false">J22-V22</f>
        <v>-178</v>
      </c>
      <c r="AI22" s="16" t="n">
        <f aca="false">K22-W22</f>
        <v>355</v>
      </c>
      <c r="AJ22" s="16" t="n">
        <f aca="false">L22-X22</f>
        <v>-299</v>
      </c>
      <c r="AK22" s="16" t="n">
        <f aca="false">M22-Y22</f>
        <v>133.5</v>
      </c>
      <c r="AL22" s="16" t="n">
        <f aca="false">N22-Z22</f>
        <v>855</v>
      </c>
    </row>
    <row r="23" customFormat="false" ht="15" hidden="false" customHeight="false" outlineLevel="0" collapsed="false">
      <c r="A23" s="6" t="s">
        <v>91</v>
      </c>
      <c r="B23" s="7" t="s">
        <v>92</v>
      </c>
      <c r="C23" s="38" t="s">
        <v>181</v>
      </c>
      <c r="D23" s="16" t="n">
        <f aca="false">AVERAGEIF('United Games For'!$A$5:$A$22,D$5,'United Games For'!U$5:U$22)</f>
        <v>39</v>
      </c>
      <c r="E23" s="16" t="n">
        <f aca="false">AVERAGEIF('United Games For'!$A$5:$A$22,E$5,'United Games For'!U$5:U$22)</f>
        <v>63</v>
      </c>
      <c r="F23" s="16" t="n">
        <f aca="false">AVERAGEIF('United Games For'!$A$5:$A$22,F$5,'United Games For'!U$5:U$22)</f>
        <v>56.5</v>
      </c>
      <c r="G23" s="16" t="n">
        <f aca="false">AVERAGEIF('United Games For'!$A$5:$A$22,G$5,'United Games For'!U$5:U$22)</f>
        <v>47</v>
      </c>
      <c r="H23" s="16" t="n">
        <f aca="false">AVERAGEIF('United Games For'!$A$5:$A$22,H$5,'United Games For'!U$5:U$22)</f>
        <v>53.5</v>
      </c>
      <c r="I23" s="16" t="n">
        <f aca="false">AVERAGEIF('United Games For'!$A$5:$A$22,I$5,'United Games For'!U$5:U$22)</f>
        <v>56</v>
      </c>
      <c r="J23" s="16" t="n">
        <f aca="false">AVERAGEIF('United Games For'!$A$5:$A$22,J$5,'United Games For'!U$5:U$22)</f>
        <v>63</v>
      </c>
      <c r="K23" s="16" t="n">
        <f aca="false">AVERAGEIF('United Games For'!$A$5:$A$22,K$5,'United Games For'!U$5:U$22)</f>
        <v>44</v>
      </c>
      <c r="L23" s="16" t="n">
        <f aca="false">AVERAGEIF('United Games For'!$A$5:$A$22,L$5,'United Games For'!U$5:U$22)</f>
        <v>54</v>
      </c>
      <c r="M23" s="16" t="n">
        <f aca="false">AVERAGEIF('United Games For'!$A$5:$A$22,M$5,'United Games For'!U$5:U$22)</f>
        <v>70.5</v>
      </c>
      <c r="N23" s="16" t="n">
        <f aca="false">AVERAGEIF('United Games For'!$A$5:$A$22,N$5,'United Games For'!U$5:U$22)</f>
        <v>56</v>
      </c>
      <c r="P23" s="16" t="n">
        <f aca="false">AVERAGEIF('United Games Against'!$A$5:$A$22,D$5,'United Games Against'!U$5:U$22)</f>
        <v>46</v>
      </c>
      <c r="Q23" s="16" t="n">
        <f aca="false">AVERAGEIF('United Games Against'!$A$5:$A$22,E$5,'United Games Against'!U$5:U$22)</f>
        <v>52</v>
      </c>
      <c r="R23" s="16" t="n">
        <f aca="false">AVERAGEIF('United Games Against'!$A$5:$A$22,F$5,'United Games Against'!U$5:U$22)</f>
        <v>20.5</v>
      </c>
      <c r="S23" s="16" t="n">
        <f aca="false">AVERAGEIF('United Games Against'!$A$5:$A$22,G$5,'United Games Against'!U$5:U$22)</f>
        <v>33</v>
      </c>
      <c r="T23" s="16" t="n">
        <f aca="false">AVERAGEIF('United Games Against'!$A$5:$A$22,H$5,'United Games Against'!U$5:U$22)</f>
        <v>38</v>
      </c>
      <c r="U23" s="16" t="n">
        <f aca="false">AVERAGEIF('United Games Against'!$A$5:$A$22,I$5,'United Games Against'!U$5:U$22)</f>
        <v>51</v>
      </c>
      <c r="V23" s="16" t="n">
        <f aca="false">AVERAGEIF('United Games Against'!$A$5:$A$22,J$5,'United Games Against'!U$5:U$22)</f>
        <v>43</v>
      </c>
      <c r="W23" s="16" t="n">
        <f aca="false">AVERAGEIF('United Games Against'!$A$5:$A$22,K$5,'United Games Against'!U$5:U$22)</f>
        <v>56</v>
      </c>
      <c r="X23" s="16" t="n">
        <f aca="false">AVERAGEIF('United Games Against'!$A$5:$A$22,L$5,'United Games Against'!U$5:U$22)</f>
        <v>45.5</v>
      </c>
      <c r="Y23" s="16" t="n">
        <f aca="false">AVERAGEIF('United Games Against'!$A$5:$A$22,M$5,'United Games Against'!U$5:U$22)</f>
        <v>30</v>
      </c>
      <c r="Z23" s="16" t="n">
        <f aca="false">AVERAGEIF('United Games Against'!$A$5:$A$22,N$5,'United Games Against'!U$5:U$22)</f>
        <v>34.5</v>
      </c>
      <c r="AB23" s="16" t="n">
        <f aca="false">D23-P23</f>
        <v>-7</v>
      </c>
      <c r="AC23" s="16" t="n">
        <f aca="false">E23-Q23</f>
        <v>11</v>
      </c>
      <c r="AD23" s="16" t="n">
        <f aca="false">F23-R23</f>
        <v>36</v>
      </c>
      <c r="AE23" s="16" t="n">
        <f aca="false">G23-S23</f>
        <v>14</v>
      </c>
      <c r="AF23" s="16" t="n">
        <f aca="false">H23-T23</f>
        <v>15.5</v>
      </c>
      <c r="AG23" s="16" t="n">
        <f aca="false">I23-U23</f>
        <v>5</v>
      </c>
      <c r="AH23" s="16" t="n">
        <f aca="false">J23-V23</f>
        <v>20</v>
      </c>
      <c r="AI23" s="16" t="n">
        <f aca="false">K23-W23</f>
        <v>-12</v>
      </c>
      <c r="AJ23" s="16" t="n">
        <f aca="false">L23-X23</f>
        <v>8.5</v>
      </c>
      <c r="AK23" s="16" t="n">
        <f aca="false">M23-Y23</f>
        <v>40.5</v>
      </c>
      <c r="AL23" s="16" t="n">
        <f aca="false">N23-Z23</f>
        <v>21.5</v>
      </c>
    </row>
    <row r="24" customFormat="false" ht="15" hidden="false" customHeight="false" outlineLevel="0" collapsed="false">
      <c r="A24" s="6" t="s">
        <v>93</v>
      </c>
      <c r="B24" s="7" t="s">
        <v>94</v>
      </c>
      <c r="C24" s="38" t="s">
        <v>179</v>
      </c>
      <c r="D24" s="16" t="n">
        <f aca="false">AVERAGEIF('United Games For'!$A$5:$A$22,D$5,'United Games For'!V$5:V$22)</f>
        <v>11</v>
      </c>
      <c r="E24" s="16" t="n">
        <f aca="false">AVERAGEIF('United Games For'!$A$5:$A$22,E$5,'United Games For'!V$5:V$22)</f>
        <v>12</v>
      </c>
      <c r="F24" s="16" t="n">
        <f aca="false">AVERAGEIF('United Games For'!$A$5:$A$22,F$5,'United Games For'!V$5:V$22)</f>
        <v>11</v>
      </c>
      <c r="G24" s="16" t="n">
        <f aca="false">AVERAGEIF('United Games For'!$A$5:$A$22,G$5,'United Games For'!V$5:V$22)</f>
        <v>7</v>
      </c>
      <c r="H24" s="16" t="n">
        <f aca="false">AVERAGEIF('United Games For'!$A$5:$A$22,H$5,'United Games For'!V$5:V$22)</f>
        <v>12.5</v>
      </c>
      <c r="I24" s="16" t="n">
        <f aca="false">AVERAGEIF('United Games For'!$A$5:$A$22,I$5,'United Games For'!V$5:V$22)</f>
        <v>9</v>
      </c>
      <c r="J24" s="16" t="n">
        <f aca="false">AVERAGEIF('United Games For'!$A$5:$A$22,J$5,'United Games For'!V$5:V$22)</f>
        <v>11</v>
      </c>
      <c r="K24" s="16" t="n">
        <f aca="false">AVERAGEIF('United Games For'!$A$5:$A$22,K$5,'United Games For'!V$5:V$22)</f>
        <v>7</v>
      </c>
      <c r="L24" s="16" t="n">
        <f aca="false">AVERAGEIF('United Games For'!$A$5:$A$22,L$5,'United Games For'!V$5:V$22)</f>
        <v>11</v>
      </c>
      <c r="M24" s="16" t="n">
        <f aca="false">AVERAGEIF('United Games For'!$A$5:$A$22,M$5,'United Games For'!V$5:V$22)</f>
        <v>17</v>
      </c>
      <c r="N24" s="16" t="n">
        <f aca="false">AVERAGEIF('United Games For'!$A$5:$A$22,N$5,'United Games For'!V$5:V$22)</f>
        <v>15.5</v>
      </c>
      <c r="P24" s="16" t="n">
        <f aca="false">AVERAGEIF('United Games Against'!$A$5:$A$22,D$5,'United Games Against'!V$5:V$22)</f>
        <v>5</v>
      </c>
      <c r="Q24" s="16" t="n">
        <f aca="false">AVERAGEIF('United Games Against'!$A$5:$A$22,E$5,'United Games Against'!V$5:V$22)</f>
        <v>10.5</v>
      </c>
      <c r="R24" s="16" t="n">
        <f aca="false">AVERAGEIF('United Games Against'!$A$5:$A$22,F$5,'United Games Against'!V$5:V$22)</f>
        <v>3.5</v>
      </c>
      <c r="S24" s="16" t="n">
        <f aca="false">AVERAGEIF('United Games Against'!$A$5:$A$22,G$5,'United Games Against'!V$5:V$22)</f>
        <v>4</v>
      </c>
      <c r="T24" s="16" t="n">
        <f aca="false">AVERAGEIF('United Games Against'!$A$5:$A$22,H$5,'United Games Against'!V$5:V$22)</f>
        <v>11</v>
      </c>
      <c r="U24" s="16" t="n">
        <f aca="false">AVERAGEIF('United Games Against'!$A$5:$A$22,I$5,'United Games Against'!V$5:V$22)</f>
        <v>10</v>
      </c>
      <c r="V24" s="16" t="n">
        <f aca="false">AVERAGEIF('United Games Against'!$A$5:$A$22,J$5,'United Games Against'!V$5:V$22)</f>
        <v>8</v>
      </c>
      <c r="W24" s="16" t="n">
        <f aca="false">AVERAGEIF('United Games Against'!$A$5:$A$22,K$5,'United Games Against'!V$5:V$22)</f>
        <v>8</v>
      </c>
      <c r="X24" s="16" t="n">
        <f aca="false">AVERAGEIF('United Games Against'!$A$5:$A$22,L$5,'United Games Against'!V$5:V$22)</f>
        <v>10.5</v>
      </c>
      <c r="Y24" s="16" t="n">
        <f aca="false">AVERAGEIF('United Games Against'!$A$5:$A$22,M$5,'United Games Against'!V$5:V$22)</f>
        <v>5.5</v>
      </c>
      <c r="Z24" s="16" t="n">
        <f aca="false">AVERAGEIF('United Games Against'!$A$5:$A$22,N$5,'United Games Against'!V$5:V$22)</f>
        <v>5</v>
      </c>
      <c r="AB24" s="16" t="n">
        <f aca="false">D24-P24</f>
        <v>6</v>
      </c>
      <c r="AC24" s="16" t="n">
        <f aca="false">E24-Q24</f>
        <v>1.5</v>
      </c>
      <c r="AD24" s="16" t="n">
        <f aca="false">F24-R24</f>
        <v>7.5</v>
      </c>
      <c r="AE24" s="16" t="n">
        <f aca="false">G24-S24</f>
        <v>3</v>
      </c>
      <c r="AF24" s="16" t="n">
        <f aca="false">H24-T24</f>
        <v>1.5</v>
      </c>
      <c r="AG24" s="16" t="n">
        <f aca="false">I24-U24</f>
        <v>-1</v>
      </c>
      <c r="AH24" s="16" t="n">
        <f aca="false">J24-V24</f>
        <v>3</v>
      </c>
      <c r="AI24" s="16" t="n">
        <f aca="false">K24-W24</f>
        <v>-1</v>
      </c>
      <c r="AJ24" s="16" t="n">
        <f aca="false">L24-X24</f>
        <v>0.5</v>
      </c>
      <c r="AK24" s="16" t="n">
        <f aca="false">M24-Y24</f>
        <v>11.5</v>
      </c>
      <c r="AL24" s="16" t="n">
        <f aca="false">N24-Z24</f>
        <v>10.5</v>
      </c>
    </row>
    <row r="25" customFormat="false" ht="15" hidden="false" customHeight="false" outlineLevel="0" collapsed="false">
      <c r="A25" s="6" t="s">
        <v>53</v>
      </c>
      <c r="B25" s="7" t="s">
        <v>54</v>
      </c>
      <c r="C25" s="38" t="s">
        <v>179</v>
      </c>
      <c r="D25" s="16" t="n">
        <f aca="false">AVERAGEIF('United Games For'!$A$5:$A$22,D$5,'United Games For'!W$5:W$22)</f>
        <v>38</v>
      </c>
      <c r="E25" s="16" t="n">
        <f aca="false">AVERAGEIF('United Games For'!$A$5:$A$22,E$5,'United Games For'!W$5:W$22)</f>
        <v>38.5</v>
      </c>
      <c r="F25" s="16" t="n">
        <f aca="false">AVERAGEIF('United Games For'!$A$5:$A$22,F$5,'United Games For'!W$5:W$22)</f>
        <v>38</v>
      </c>
      <c r="G25" s="16" t="n">
        <f aca="false">AVERAGEIF('United Games For'!$A$5:$A$22,G$5,'United Games For'!W$5:W$22)</f>
        <v>45</v>
      </c>
      <c r="H25" s="16" t="n">
        <f aca="false">AVERAGEIF('United Games For'!$A$5:$A$22,H$5,'United Games For'!W$5:W$22)</f>
        <v>43.5</v>
      </c>
      <c r="I25" s="16" t="n">
        <f aca="false">AVERAGEIF('United Games For'!$A$5:$A$22,I$5,'United Games For'!W$5:W$22)</f>
        <v>42</v>
      </c>
      <c r="J25" s="16" t="n">
        <f aca="false">AVERAGEIF('United Games For'!$A$5:$A$22,J$5,'United Games For'!W$5:W$22)</f>
        <v>33</v>
      </c>
      <c r="K25" s="16" t="n">
        <f aca="false">AVERAGEIF('United Games For'!$A$5:$A$22,K$5,'United Games For'!W$5:W$22)</f>
        <v>43</v>
      </c>
      <c r="L25" s="16" t="n">
        <f aca="false">AVERAGEIF('United Games For'!$A$5:$A$22,L$5,'United Games For'!W$5:W$22)</f>
        <v>45.5</v>
      </c>
      <c r="M25" s="16" t="n">
        <f aca="false">AVERAGEIF('United Games For'!$A$5:$A$22,M$5,'United Games For'!W$5:W$22)</f>
        <v>50.5</v>
      </c>
      <c r="N25" s="16" t="n">
        <f aca="false">AVERAGEIF('United Games For'!$A$5:$A$22,N$5,'United Games For'!W$5:W$22)</f>
        <v>38.5</v>
      </c>
      <c r="P25" s="16" t="n">
        <f aca="false">AVERAGEIF('United Games Against'!$A$5:$A$22,D$5,'United Games Against'!W$5:W$22)</f>
        <v>32</v>
      </c>
      <c r="Q25" s="16" t="n">
        <f aca="false">AVERAGEIF('United Games Against'!$A$5:$A$22,E$5,'United Games Against'!W$5:W$22)</f>
        <v>54</v>
      </c>
      <c r="R25" s="16" t="n">
        <f aca="false">AVERAGEIF('United Games Against'!$A$5:$A$22,F$5,'United Games Against'!W$5:W$22)</f>
        <v>28</v>
      </c>
      <c r="S25" s="16" t="n">
        <f aca="false">AVERAGEIF('United Games Against'!$A$5:$A$22,G$5,'United Games Against'!W$5:W$22)</f>
        <v>41</v>
      </c>
      <c r="T25" s="16" t="n">
        <f aca="false">AVERAGEIF('United Games Against'!$A$5:$A$22,H$5,'United Games Against'!W$5:W$22)</f>
        <v>44.5</v>
      </c>
      <c r="U25" s="16" t="n">
        <f aca="false">AVERAGEIF('United Games Against'!$A$5:$A$22,I$5,'United Games Against'!W$5:W$22)</f>
        <v>46.5</v>
      </c>
      <c r="V25" s="16" t="n">
        <f aca="false">AVERAGEIF('United Games Against'!$A$5:$A$22,J$5,'United Games Against'!W$5:W$22)</f>
        <v>52</v>
      </c>
      <c r="W25" s="16" t="n">
        <f aca="false">AVERAGEIF('United Games Against'!$A$5:$A$22,K$5,'United Games Against'!W$5:W$22)</f>
        <v>49</v>
      </c>
      <c r="X25" s="16" t="n">
        <f aca="false">AVERAGEIF('United Games Against'!$A$5:$A$22,L$5,'United Games Against'!W$5:W$22)</f>
        <v>38.5</v>
      </c>
      <c r="Y25" s="16" t="n">
        <f aca="false">AVERAGEIF('United Games Against'!$A$5:$A$22,M$5,'United Games Against'!W$5:W$22)</f>
        <v>42</v>
      </c>
      <c r="Z25" s="16" t="n">
        <f aca="false">AVERAGEIF('United Games Against'!$A$5:$A$22,N$5,'United Games Against'!W$5:W$22)</f>
        <v>34</v>
      </c>
      <c r="AB25" s="16" t="n">
        <f aca="false">D25-P25</f>
        <v>6</v>
      </c>
      <c r="AC25" s="16" t="n">
        <f aca="false">E25-Q25</f>
        <v>-15.5</v>
      </c>
      <c r="AD25" s="16" t="n">
        <f aca="false">F25-R25</f>
        <v>10</v>
      </c>
      <c r="AE25" s="16" t="n">
        <f aca="false">G25-S25</f>
        <v>4</v>
      </c>
      <c r="AF25" s="16" t="n">
        <f aca="false">H25-T25</f>
        <v>-1</v>
      </c>
      <c r="AG25" s="16" t="n">
        <f aca="false">I25-U25</f>
        <v>-4.5</v>
      </c>
      <c r="AH25" s="16" t="n">
        <f aca="false">J25-V25</f>
        <v>-19</v>
      </c>
      <c r="AI25" s="16" t="n">
        <f aca="false">K25-W25</f>
        <v>-6</v>
      </c>
      <c r="AJ25" s="16" t="n">
        <f aca="false">L25-X25</f>
        <v>7</v>
      </c>
      <c r="AK25" s="16" t="n">
        <f aca="false">M25-Y25</f>
        <v>8.5</v>
      </c>
      <c r="AL25" s="16" t="n">
        <f aca="false">N25-Z25</f>
        <v>4.5</v>
      </c>
    </row>
    <row r="26" customFormat="false" ht="15" hidden="false" customHeight="false" outlineLevel="0" collapsed="false">
      <c r="A26" s="6" t="s">
        <v>45</v>
      </c>
      <c r="B26" s="7" t="s">
        <v>46</v>
      </c>
      <c r="C26" s="38" t="s">
        <v>179</v>
      </c>
      <c r="D26" s="16" t="n">
        <f aca="false">AVERAGEIF('United Games For'!$A$5:$A$22,D$5,'United Games For'!X$5:X$22)</f>
        <v>16</v>
      </c>
      <c r="E26" s="16" t="n">
        <f aca="false">AVERAGEIF('United Games For'!$A$5:$A$22,E$5,'United Games For'!X$5:X$22)</f>
        <v>9.5</v>
      </c>
      <c r="F26" s="16" t="n">
        <f aca="false">AVERAGEIF('United Games For'!$A$5:$A$22,F$5,'United Games For'!X$5:X$22)</f>
        <v>9.5</v>
      </c>
      <c r="G26" s="16" t="n">
        <f aca="false">AVERAGEIF('United Games For'!$A$5:$A$22,G$5,'United Games For'!X$5:X$22)</f>
        <v>11</v>
      </c>
      <c r="H26" s="16" t="n">
        <f aca="false">AVERAGEIF('United Games For'!$A$5:$A$22,H$5,'United Games For'!X$5:X$22)</f>
        <v>12</v>
      </c>
      <c r="I26" s="16" t="n">
        <f aca="false">AVERAGEIF('United Games For'!$A$5:$A$22,I$5,'United Games For'!X$5:X$22)</f>
        <v>9</v>
      </c>
      <c r="J26" s="16" t="n">
        <f aca="false">AVERAGEIF('United Games For'!$A$5:$A$22,J$5,'United Games For'!X$5:X$22)</f>
        <v>7</v>
      </c>
      <c r="K26" s="16" t="n">
        <f aca="false">AVERAGEIF('United Games For'!$A$5:$A$22,K$5,'United Games For'!X$5:X$22)</f>
        <v>8</v>
      </c>
      <c r="L26" s="16" t="n">
        <f aca="false">AVERAGEIF('United Games For'!$A$5:$A$22,L$5,'United Games For'!X$5:X$22)</f>
        <v>7.5</v>
      </c>
      <c r="M26" s="16" t="n">
        <f aca="false">AVERAGEIF('United Games For'!$A$5:$A$22,M$5,'United Games For'!X$5:X$22)</f>
        <v>11</v>
      </c>
      <c r="N26" s="16" t="n">
        <f aca="false">AVERAGEIF('United Games For'!$A$5:$A$22,N$5,'United Games For'!X$5:X$22)</f>
        <v>10.5</v>
      </c>
      <c r="P26" s="16" t="n">
        <f aca="false">AVERAGEIF('United Games Against'!$A$5:$A$22,D$5,'United Games Against'!X$5:X$22)</f>
        <v>10</v>
      </c>
      <c r="Q26" s="16" t="n">
        <f aca="false">AVERAGEIF('United Games Against'!$A$5:$A$22,E$5,'United Games Against'!X$5:X$22)</f>
        <v>14</v>
      </c>
      <c r="R26" s="16" t="n">
        <f aca="false">AVERAGEIF('United Games Against'!$A$5:$A$22,F$5,'United Games Against'!X$5:X$22)</f>
        <v>5.5</v>
      </c>
      <c r="S26" s="16" t="n">
        <f aca="false">AVERAGEIF('United Games Against'!$A$5:$A$22,G$5,'United Games Against'!X$5:X$22)</f>
        <v>13</v>
      </c>
      <c r="T26" s="16" t="n">
        <f aca="false">AVERAGEIF('United Games Against'!$A$5:$A$22,H$5,'United Games Against'!X$5:X$22)</f>
        <v>16</v>
      </c>
      <c r="U26" s="16" t="n">
        <f aca="false">AVERAGEIF('United Games Against'!$A$5:$A$22,I$5,'United Games Against'!X$5:X$22)</f>
        <v>8.5</v>
      </c>
      <c r="V26" s="16" t="n">
        <f aca="false">AVERAGEIF('United Games Against'!$A$5:$A$22,J$5,'United Games Against'!X$5:X$22)</f>
        <v>8</v>
      </c>
      <c r="W26" s="16" t="n">
        <f aca="false">AVERAGEIF('United Games Against'!$A$5:$A$22,K$5,'United Games Against'!X$5:X$22)</f>
        <v>8</v>
      </c>
      <c r="X26" s="16" t="n">
        <f aca="false">AVERAGEIF('United Games Against'!$A$5:$A$22,L$5,'United Games Against'!X$5:X$22)</f>
        <v>8</v>
      </c>
      <c r="Y26" s="16" t="n">
        <f aca="false">AVERAGEIF('United Games Against'!$A$5:$A$22,M$5,'United Games Against'!X$5:X$22)</f>
        <v>9</v>
      </c>
      <c r="Z26" s="16" t="n">
        <f aca="false">AVERAGEIF('United Games Against'!$A$5:$A$22,N$5,'United Games Against'!X$5:X$22)</f>
        <v>12</v>
      </c>
      <c r="AB26" s="16" t="n">
        <f aca="false">D26-P26</f>
        <v>6</v>
      </c>
      <c r="AC26" s="16" t="n">
        <f aca="false">E26-Q26</f>
        <v>-4.5</v>
      </c>
      <c r="AD26" s="16" t="n">
        <f aca="false">F26-R26</f>
        <v>4</v>
      </c>
      <c r="AE26" s="16" t="n">
        <f aca="false">G26-S26</f>
        <v>-2</v>
      </c>
      <c r="AF26" s="16" t="n">
        <f aca="false">H26-T26</f>
        <v>-4</v>
      </c>
      <c r="AG26" s="16" t="n">
        <f aca="false">I26-U26</f>
        <v>0.5</v>
      </c>
      <c r="AH26" s="16" t="n">
        <f aca="false">J26-V26</f>
        <v>-1</v>
      </c>
      <c r="AI26" s="16" t="n">
        <f aca="false">K26-W26</f>
        <v>0</v>
      </c>
      <c r="AJ26" s="16" t="n">
        <f aca="false">L26-X26</f>
        <v>-0.5</v>
      </c>
      <c r="AK26" s="16" t="n">
        <f aca="false">M26-Y26</f>
        <v>2</v>
      </c>
      <c r="AL26" s="16" t="n">
        <f aca="false">N26-Z26</f>
        <v>-1.5</v>
      </c>
    </row>
    <row r="27" customFormat="false" ht="15" hidden="false" customHeight="false" outlineLevel="0" collapsed="false">
      <c r="A27" s="6" t="s">
        <v>41</v>
      </c>
      <c r="B27" s="7" t="s">
        <v>42</v>
      </c>
      <c r="C27" s="38" t="s">
        <v>179</v>
      </c>
      <c r="D27" s="16" t="n">
        <f aca="false">AVERAGEIF('United Games For'!$A$5:$A$22,D$5,'United Games For'!Y$5:Y$22)</f>
        <v>15</v>
      </c>
      <c r="E27" s="16" t="n">
        <f aca="false">AVERAGEIF('United Games For'!$A$5:$A$22,E$5,'United Games For'!Y$5:Y$22)</f>
        <v>18.5</v>
      </c>
      <c r="F27" s="16" t="n">
        <f aca="false">AVERAGEIF('United Games For'!$A$5:$A$22,F$5,'United Games For'!Y$5:Y$22)</f>
        <v>20</v>
      </c>
      <c r="G27" s="16" t="n">
        <f aca="false">AVERAGEIF('United Games For'!$A$5:$A$22,G$5,'United Games For'!Y$5:Y$22)</f>
        <v>20</v>
      </c>
      <c r="H27" s="16" t="n">
        <f aca="false">AVERAGEIF('United Games For'!$A$5:$A$22,H$5,'United Games For'!Y$5:Y$22)</f>
        <v>18.5</v>
      </c>
      <c r="I27" s="16" t="n">
        <f aca="false">AVERAGEIF('United Games For'!$A$5:$A$22,I$5,'United Games For'!Y$5:Y$22)</f>
        <v>19</v>
      </c>
      <c r="J27" s="16" t="n">
        <f aca="false">AVERAGEIF('United Games For'!$A$5:$A$22,J$5,'United Games For'!Y$5:Y$22)</f>
        <v>21</v>
      </c>
      <c r="K27" s="16" t="n">
        <f aca="false">AVERAGEIF('United Games For'!$A$5:$A$22,K$5,'United Games For'!Y$5:Y$22)</f>
        <v>25</v>
      </c>
      <c r="L27" s="16" t="n">
        <f aca="false">AVERAGEIF('United Games For'!$A$5:$A$22,L$5,'United Games For'!Y$5:Y$22)</f>
        <v>22.5</v>
      </c>
      <c r="M27" s="16" t="n">
        <f aca="false">AVERAGEIF('United Games For'!$A$5:$A$22,M$5,'United Games For'!Y$5:Y$22)</f>
        <v>23</v>
      </c>
      <c r="N27" s="16" t="n">
        <f aca="false">AVERAGEIF('United Games For'!$A$5:$A$22,N$5,'United Games For'!Y$5:Y$22)</f>
        <v>18.5</v>
      </c>
      <c r="P27" s="16" t="n">
        <f aca="false">AVERAGEIF('United Games Against'!$A$5:$A$22,D$5,'United Games Against'!Y$5:Y$22)</f>
        <v>14</v>
      </c>
      <c r="Q27" s="16" t="n">
        <f aca="false">AVERAGEIF('United Games Against'!$A$5:$A$22,E$5,'United Games Against'!Y$5:Y$22)</f>
        <v>25</v>
      </c>
      <c r="R27" s="16" t="n">
        <f aca="false">AVERAGEIF('United Games Against'!$A$5:$A$22,F$5,'United Games Against'!Y$5:Y$22)</f>
        <v>13</v>
      </c>
      <c r="S27" s="16" t="n">
        <f aca="false">AVERAGEIF('United Games Against'!$A$5:$A$22,G$5,'United Games Against'!Y$5:Y$22)</f>
        <v>16</v>
      </c>
      <c r="T27" s="16" t="n">
        <f aca="false">AVERAGEIF('United Games Against'!$A$5:$A$22,H$5,'United Games Against'!Y$5:Y$22)</f>
        <v>17</v>
      </c>
      <c r="U27" s="16" t="n">
        <f aca="false">AVERAGEIF('United Games Against'!$A$5:$A$22,I$5,'United Games Against'!Y$5:Y$22)</f>
        <v>22.5</v>
      </c>
      <c r="V27" s="16" t="n">
        <f aca="false">AVERAGEIF('United Games Against'!$A$5:$A$22,J$5,'United Games Against'!Y$5:Y$22)</f>
        <v>30</v>
      </c>
      <c r="W27" s="16" t="n">
        <f aca="false">AVERAGEIF('United Games Against'!$A$5:$A$22,K$5,'United Games Against'!Y$5:Y$22)</f>
        <v>25</v>
      </c>
      <c r="X27" s="16" t="n">
        <f aca="false">AVERAGEIF('United Games Against'!$A$5:$A$22,L$5,'United Games Against'!Y$5:Y$22)</f>
        <v>18.5</v>
      </c>
      <c r="Y27" s="16" t="n">
        <f aca="false">AVERAGEIF('United Games Against'!$A$5:$A$22,M$5,'United Games Against'!Y$5:Y$22)</f>
        <v>22</v>
      </c>
      <c r="Z27" s="16" t="n">
        <f aca="false">AVERAGEIF('United Games Against'!$A$5:$A$22,N$5,'United Games Against'!Y$5:Y$22)</f>
        <v>12</v>
      </c>
      <c r="AB27" s="16" t="n">
        <f aca="false">D27-P27</f>
        <v>1</v>
      </c>
      <c r="AC27" s="16" t="n">
        <f aca="false">E27-Q27</f>
        <v>-6.5</v>
      </c>
      <c r="AD27" s="16" t="n">
        <f aca="false">F27-R27</f>
        <v>7</v>
      </c>
      <c r="AE27" s="16" t="n">
        <f aca="false">G27-S27</f>
        <v>4</v>
      </c>
      <c r="AF27" s="16" t="n">
        <f aca="false">H27-T27</f>
        <v>1.5</v>
      </c>
      <c r="AG27" s="16" t="n">
        <f aca="false">I27-U27</f>
        <v>-3.5</v>
      </c>
      <c r="AH27" s="16" t="n">
        <f aca="false">J27-V27</f>
        <v>-9</v>
      </c>
      <c r="AI27" s="16" t="n">
        <f aca="false">K27-W27</f>
        <v>0</v>
      </c>
      <c r="AJ27" s="16" t="n">
        <f aca="false">L27-X27</f>
        <v>4</v>
      </c>
      <c r="AK27" s="16" t="n">
        <f aca="false">M27-Y27</f>
        <v>1</v>
      </c>
      <c r="AL27" s="16" t="n">
        <f aca="false">N27-Z27</f>
        <v>6.5</v>
      </c>
    </row>
    <row r="28" customFormat="false" ht="15" hidden="false" customHeight="false" outlineLevel="0" collapsed="false">
      <c r="A28" s="6" t="s">
        <v>157</v>
      </c>
      <c r="B28" s="7" t="s">
        <v>158</v>
      </c>
      <c r="C28" s="38" t="s">
        <v>179</v>
      </c>
      <c r="D28" s="16" t="n">
        <f aca="false">AVERAGEIF('United Games For'!$A$5:$A$22,D$5,'United Games For'!Z$5:Z$22)</f>
        <v>7</v>
      </c>
      <c r="E28" s="16" t="n">
        <f aca="false">AVERAGEIF('United Games For'!$A$5:$A$22,E$5,'United Games For'!Z$5:Z$22)</f>
        <v>10.5</v>
      </c>
      <c r="F28" s="16" t="n">
        <f aca="false">AVERAGEIF('United Games For'!$A$5:$A$22,F$5,'United Games For'!Z$5:Z$22)</f>
        <v>8.5</v>
      </c>
      <c r="G28" s="16" t="n">
        <f aca="false">AVERAGEIF('United Games For'!$A$5:$A$22,G$5,'United Games For'!Z$5:Z$22)</f>
        <v>14</v>
      </c>
      <c r="H28" s="16" t="n">
        <f aca="false">AVERAGEIF('United Games For'!$A$5:$A$22,H$5,'United Games For'!Z$5:Z$22)</f>
        <v>13</v>
      </c>
      <c r="I28" s="16" t="n">
        <f aca="false">AVERAGEIF('United Games For'!$A$5:$A$22,I$5,'United Games For'!Z$5:Z$22)</f>
        <v>14</v>
      </c>
      <c r="J28" s="16" t="n">
        <f aca="false">AVERAGEIF('United Games For'!$A$5:$A$22,J$5,'United Games For'!Z$5:Z$22)</f>
        <v>5</v>
      </c>
      <c r="K28" s="16" t="n">
        <f aca="false">AVERAGEIF('United Games For'!$A$5:$A$22,K$5,'United Games For'!Z$5:Z$22)</f>
        <v>10</v>
      </c>
      <c r="L28" s="16" t="n">
        <f aca="false">AVERAGEIF('United Games For'!$A$5:$A$22,L$5,'United Games For'!Z$5:Z$22)</f>
        <v>15.5</v>
      </c>
      <c r="M28" s="16" t="n">
        <f aca="false">AVERAGEIF('United Games For'!$A$5:$A$22,M$5,'United Games For'!Z$5:Z$22)</f>
        <v>16.5</v>
      </c>
      <c r="N28" s="16" t="n">
        <f aca="false">AVERAGEIF('United Games For'!$A$5:$A$22,N$5,'United Games For'!Z$5:Z$22)</f>
        <v>9.5</v>
      </c>
      <c r="P28" s="16" t="n">
        <f aca="false">AVERAGEIF('United Games Against'!$A$5:$A$22,D$5,'United Games Against'!Z$5:Z$22)</f>
        <v>8</v>
      </c>
      <c r="Q28" s="16" t="n">
        <f aca="false">AVERAGEIF('United Games Against'!$A$5:$A$22,E$5,'United Games Against'!Z$5:Z$22)</f>
        <v>15</v>
      </c>
      <c r="R28" s="16" t="n">
        <f aca="false">AVERAGEIF('United Games Against'!$A$5:$A$22,F$5,'United Games Against'!Z$5:Z$22)</f>
        <v>9.5</v>
      </c>
      <c r="S28" s="16" t="n">
        <f aca="false">AVERAGEIF('United Games Against'!$A$5:$A$22,G$5,'United Games Against'!Z$5:Z$22)</f>
        <v>12</v>
      </c>
      <c r="T28" s="16" t="n">
        <f aca="false">AVERAGEIF('United Games Against'!$A$5:$A$22,H$5,'United Games Against'!Z$5:Z$22)</f>
        <v>11.5</v>
      </c>
      <c r="U28" s="16" t="n">
        <f aca="false">AVERAGEIF('United Games Against'!$A$5:$A$22,I$5,'United Games Against'!Z$5:Z$22)</f>
        <v>15.5</v>
      </c>
      <c r="V28" s="16" t="n">
        <f aca="false">AVERAGEIF('United Games Against'!$A$5:$A$22,J$5,'United Games Against'!Z$5:Z$22)</f>
        <v>14</v>
      </c>
      <c r="W28" s="16" t="n">
        <f aca="false">AVERAGEIF('United Games Against'!$A$5:$A$22,K$5,'United Games Against'!Z$5:Z$22)</f>
        <v>16</v>
      </c>
      <c r="X28" s="16" t="n">
        <f aca="false">AVERAGEIF('United Games Against'!$A$5:$A$22,L$5,'United Games Against'!Z$5:Z$22)</f>
        <v>12</v>
      </c>
      <c r="Y28" s="16" t="n">
        <f aca="false">AVERAGEIF('United Games Against'!$A$5:$A$22,M$5,'United Games Against'!Z$5:Z$22)</f>
        <v>11</v>
      </c>
      <c r="Z28" s="16" t="n">
        <f aca="false">AVERAGEIF('United Games Against'!$A$5:$A$22,N$5,'United Games Against'!Z$5:Z$22)</f>
        <v>10</v>
      </c>
      <c r="AB28" s="16" t="n">
        <f aca="false">D28-P28</f>
        <v>-1</v>
      </c>
      <c r="AC28" s="16" t="n">
        <f aca="false">E28-Q28</f>
        <v>-4.5</v>
      </c>
      <c r="AD28" s="16" t="n">
        <f aca="false">F28-R28</f>
        <v>-1</v>
      </c>
      <c r="AE28" s="16" t="n">
        <f aca="false">G28-S28</f>
        <v>2</v>
      </c>
      <c r="AF28" s="16" t="n">
        <f aca="false">H28-T28</f>
        <v>1.5</v>
      </c>
      <c r="AG28" s="16" t="n">
        <f aca="false">I28-U28</f>
        <v>-1.5</v>
      </c>
      <c r="AH28" s="16" t="n">
        <f aca="false">J28-V28</f>
        <v>-9</v>
      </c>
      <c r="AI28" s="16" t="n">
        <f aca="false">K28-W28</f>
        <v>-6</v>
      </c>
      <c r="AJ28" s="16" t="n">
        <f aca="false">L28-X28</f>
        <v>3.5</v>
      </c>
      <c r="AK28" s="16" t="n">
        <f aca="false">M28-Y28</f>
        <v>5.5</v>
      </c>
      <c r="AL28" s="16" t="n">
        <f aca="false">N28-Z28</f>
        <v>-0.5</v>
      </c>
    </row>
    <row r="29" customFormat="false" ht="15" hidden="false" customHeight="false" outlineLevel="0" collapsed="false">
      <c r="A29" s="6" t="s">
        <v>97</v>
      </c>
      <c r="B29" s="7" t="s">
        <v>98</v>
      </c>
      <c r="C29" s="38" t="s">
        <v>179</v>
      </c>
      <c r="D29" s="16" t="n">
        <f aca="false">AVERAGEIF('United Games For'!$A$5:$A$22,D$5,'United Games For'!AA$5:AA$22)</f>
        <v>61</v>
      </c>
      <c r="E29" s="16" t="n">
        <f aca="false">AVERAGEIF('United Games For'!$A$5:$A$22,E$5,'United Games For'!AA$5:AA$22)</f>
        <v>40</v>
      </c>
      <c r="F29" s="16" t="n">
        <f aca="false">AVERAGEIF('United Games For'!$A$5:$A$22,F$5,'United Games For'!AA$5:AA$22)</f>
        <v>44.5</v>
      </c>
      <c r="G29" s="16" t="n">
        <f aca="false">AVERAGEIF('United Games For'!$A$5:$A$22,G$5,'United Games For'!AA$5:AA$22)</f>
        <v>48</v>
      </c>
      <c r="H29" s="16" t="n">
        <f aca="false">AVERAGEIF('United Games For'!$A$5:$A$22,H$5,'United Games For'!AA$5:AA$22)</f>
        <v>45</v>
      </c>
      <c r="I29" s="16" t="n">
        <f aca="false">AVERAGEIF('United Games For'!$A$5:$A$22,I$5,'United Games For'!AA$5:AA$22)</f>
        <v>51</v>
      </c>
      <c r="J29" s="16" t="n">
        <f aca="false">AVERAGEIF('United Games For'!$A$5:$A$22,J$5,'United Games For'!AA$5:AA$22)</f>
        <v>36</v>
      </c>
      <c r="K29" s="16" t="n">
        <f aca="false">AVERAGEIF('United Games For'!$A$5:$A$22,K$5,'United Games For'!AA$5:AA$22)</f>
        <v>46</v>
      </c>
      <c r="L29" s="16" t="n">
        <f aca="false">AVERAGEIF('United Games For'!$A$5:$A$22,L$5,'United Games For'!AA$5:AA$22)</f>
        <v>38</v>
      </c>
      <c r="M29" s="16" t="n">
        <f aca="false">AVERAGEIF('United Games For'!$A$5:$A$22,M$5,'United Games For'!AA$5:AA$22)</f>
        <v>58</v>
      </c>
      <c r="N29" s="16" t="n">
        <f aca="false">AVERAGEIF('United Games For'!$A$5:$A$22,N$5,'United Games For'!AA$5:AA$22)</f>
        <v>63</v>
      </c>
      <c r="P29" s="16" t="n">
        <f aca="false">AVERAGEIF('United Games Against'!$A$5:$A$22,D$5,'United Games Against'!AA$5:AA$22)</f>
        <v>30</v>
      </c>
      <c r="Q29" s="16" t="n">
        <f aca="false">AVERAGEIF('United Games Against'!$A$5:$A$22,E$5,'United Games Against'!AA$5:AA$22)</f>
        <v>52</v>
      </c>
      <c r="R29" s="16" t="n">
        <f aca="false">AVERAGEIF('United Games Against'!$A$5:$A$22,F$5,'United Games Against'!AA$5:AA$22)</f>
        <v>33.5</v>
      </c>
      <c r="S29" s="16" t="n">
        <f aca="false">AVERAGEIF('United Games Against'!$A$5:$A$22,G$5,'United Games Against'!AA$5:AA$22)</f>
        <v>47</v>
      </c>
      <c r="T29" s="16" t="n">
        <f aca="false">AVERAGEIF('United Games Against'!$A$5:$A$22,H$5,'United Games Against'!AA$5:AA$22)</f>
        <v>51.5</v>
      </c>
      <c r="U29" s="16" t="n">
        <f aca="false">AVERAGEIF('United Games Against'!$A$5:$A$22,I$5,'United Games Against'!AA$5:AA$22)</f>
        <v>41</v>
      </c>
      <c r="V29" s="16" t="n">
        <f aca="false">AVERAGEIF('United Games Against'!$A$5:$A$22,J$5,'United Games Against'!AA$5:AA$22)</f>
        <v>56</v>
      </c>
      <c r="W29" s="16" t="n">
        <f aca="false">AVERAGEIF('United Games Against'!$A$5:$A$22,K$5,'United Games Against'!AA$5:AA$22)</f>
        <v>37</v>
      </c>
      <c r="X29" s="16" t="n">
        <f aca="false">AVERAGEIF('United Games Against'!$A$5:$A$22,L$5,'United Games Against'!AA$5:AA$22)</f>
        <v>47</v>
      </c>
      <c r="Y29" s="16" t="n">
        <f aca="false">AVERAGEIF('United Games Against'!$A$5:$A$22,M$5,'United Games Against'!AA$5:AA$22)</f>
        <v>44</v>
      </c>
      <c r="Z29" s="16" t="n">
        <f aca="false">AVERAGEIF('United Games Against'!$A$5:$A$22,N$5,'United Games Against'!AA$5:AA$22)</f>
        <v>26.5</v>
      </c>
      <c r="AB29" s="16" t="n">
        <f aca="false">D29-P29</f>
        <v>31</v>
      </c>
      <c r="AC29" s="16" t="n">
        <f aca="false">E29-Q29</f>
        <v>-12</v>
      </c>
      <c r="AD29" s="16" t="n">
        <f aca="false">F29-R29</f>
        <v>11</v>
      </c>
      <c r="AE29" s="16" t="n">
        <f aca="false">G29-S29</f>
        <v>1</v>
      </c>
      <c r="AF29" s="16" t="n">
        <f aca="false">H29-T29</f>
        <v>-6.5</v>
      </c>
      <c r="AG29" s="16" t="n">
        <f aca="false">I29-U29</f>
        <v>10</v>
      </c>
      <c r="AH29" s="16" t="n">
        <f aca="false">J29-V29</f>
        <v>-20</v>
      </c>
      <c r="AI29" s="16" t="n">
        <f aca="false">K29-W29</f>
        <v>9</v>
      </c>
      <c r="AJ29" s="16" t="n">
        <f aca="false">L29-X29</f>
        <v>-9</v>
      </c>
      <c r="AK29" s="16" t="n">
        <f aca="false">M29-Y29</f>
        <v>14</v>
      </c>
      <c r="AL29" s="16" t="n">
        <f aca="false">N29-Z29</f>
        <v>36.5</v>
      </c>
    </row>
    <row r="30" customFormat="false" ht="15" hidden="false" customHeight="false" outlineLevel="0" collapsed="false">
      <c r="A30" s="6" t="s">
        <v>133</v>
      </c>
      <c r="B30" s="7" t="s">
        <v>134</v>
      </c>
      <c r="C30" s="38" t="s">
        <v>181</v>
      </c>
      <c r="D30" s="16" t="n">
        <f aca="false">AVERAGEIF('United Games For'!$A$5:$A$22,D$5,'United Games For'!AB$5:AB$22)</f>
        <v>24</v>
      </c>
      <c r="E30" s="16" t="n">
        <f aca="false">AVERAGEIF('United Games For'!$A$5:$A$22,E$5,'United Games For'!AB$5:AB$22)</f>
        <v>30</v>
      </c>
      <c r="F30" s="16" t="n">
        <f aca="false">AVERAGEIF('United Games For'!$A$5:$A$22,F$5,'United Games For'!AB$5:AB$22)</f>
        <v>25.5</v>
      </c>
      <c r="G30" s="16" t="n">
        <f aca="false">AVERAGEIF('United Games For'!$A$5:$A$22,G$5,'United Games For'!AB$5:AB$22)</f>
        <v>37</v>
      </c>
      <c r="H30" s="16" t="n">
        <f aca="false">AVERAGEIF('United Games For'!$A$5:$A$22,H$5,'United Games For'!AB$5:AB$22)</f>
        <v>36.5</v>
      </c>
      <c r="I30" s="16" t="n">
        <f aca="false">AVERAGEIF('United Games For'!$A$5:$A$22,I$5,'United Games For'!AB$5:AB$22)</f>
        <v>28.5</v>
      </c>
      <c r="J30" s="16" t="n">
        <f aca="false">AVERAGEIF('United Games For'!$A$5:$A$22,J$5,'United Games For'!AB$5:AB$22)</f>
        <v>45</v>
      </c>
      <c r="K30" s="16" t="n">
        <f aca="false">AVERAGEIF('United Games For'!$A$5:$A$22,K$5,'United Games For'!AB$5:AB$22)</f>
        <v>28</v>
      </c>
      <c r="L30" s="16" t="n">
        <f aca="false">AVERAGEIF('United Games For'!$A$5:$A$22,L$5,'United Games For'!AB$5:AB$22)</f>
        <v>33.5</v>
      </c>
      <c r="M30" s="16" t="n">
        <f aca="false">AVERAGEIF('United Games For'!$A$5:$A$22,M$5,'United Games For'!AB$5:AB$22)</f>
        <v>34.5</v>
      </c>
      <c r="N30" s="16" t="n">
        <f aca="false">AVERAGEIF('United Games For'!$A$5:$A$22,N$5,'United Games For'!AB$5:AB$22)</f>
        <v>21.5</v>
      </c>
      <c r="P30" s="16" t="n">
        <f aca="false">AVERAGEIF('United Games Against'!$A$5:$A$22,D$5,'United Games Against'!AB$5:AB$22)</f>
        <v>39</v>
      </c>
      <c r="Q30" s="16" t="n">
        <f aca="false">AVERAGEIF('United Games Against'!$A$5:$A$22,E$5,'United Games Against'!AB$5:AB$22)</f>
        <v>32</v>
      </c>
      <c r="R30" s="16" t="n">
        <f aca="false">AVERAGEIF('United Games Against'!$A$5:$A$22,F$5,'United Games Against'!AB$5:AB$22)</f>
        <v>32.5</v>
      </c>
      <c r="S30" s="16" t="n">
        <f aca="false">AVERAGEIF('United Games Against'!$A$5:$A$22,G$5,'United Games Against'!AB$5:AB$22)</f>
        <v>38</v>
      </c>
      <c r="T30" s="16" t="n">
        <f aca="false">AVERAGEIF('United Games Against'!$A$5:$A$22,H$5,'United Games Against'!AB$5:AB$22)</f>
        <v>29.5</v>
      </c>
      <c r="U30" s="16" t="n">
        <f aca="false">AVERAGEIF('United Games Against'!$A$5:$A$22,I$5,'United Games Against'!AB$5:AB$22)</f>
        <v>43.5</v>
      </c>
      <c r="V30" s="16" t="n">
        <f aca="false">AVERAGEIF('United Games Against'!$A$5:$A$22,J$5,'United Games Against'!AB$5:AB$22)</f>
        <v>31</v>
      </c>
      <c r="W30" s="16" t="n">
        <f aca="false">AVERAGEIF('United Games Against'!$A$5:$A$22,K$5,'United Games Against'!AB$5:AB$22)</f>
        <v>40</v>
      </c>
      <c r="X30" s="16" t="n">
        <f aca="false">AVERAGEIF('United Games Against'!$A$5:$A$22,L$5,'United Games Against'!AB$5:AB$22)</f>
        <v>33.5</v>
      </c>
      <c r="Y30" s="16" t="n">
        <f aca="false">AVERAGEIF('United Games Against'!$A$5:$A$22,M$5,'United Games Against'!AB$5:AB$22)</f>
        <v>44</v>
      </c>
      <c r="Z30" s="16" t="n">
        <f aca="false">AVERAGEIF('United Games Against'!$A$5:$A$22,N$5,'United Games Against'!AB$5:AB$22)</f>
        <v>40.5</v>
      </c>
      <c r="AB30" s="16" t="n">
        <f aca="false">D30-P30</f>
        <v>-15</v>
      </c>
      <c r="AC30" s="16" t="n">
        <f aca="false">E30-Q30</f>
        <v>-2</v>
      </c>
      <c r="AD30" s="16" t="n">
        <f aca="false">F30-R30</f>
        <v>-7</v>
      </c>
      <c r="AE30" s="16" t="n">
        <f aca="false">G30-S30</f>
        <v>-1</v>
      </c>
      <c r="AF30" s="16" t="n">
        <f aca="false">H30-T30</f>
        <v>7</v>
      </c>
      <c r="AG30" s="16" t="n">
        <f aca="false">I30-U30</f>
        <v>-15</v>
      </c>
      <c r="AH30" s="16" t="n">
        <f aca="false">J30-V30</f>
        <v>14</v>
      </c>
      <c r="AI30" s="16" t="n">
        <f aca="false">K30-W30</f>
        <v>-12</v>
      </c>
      <c r="AJ30" s="16" t="n">
        <f aca="false">L30-X30</f>
        <v>0</v>
      </c>
      <c r="AK30" s="16" t="n">
        <f aca="false">M30-Y30</f>
        <v>-9.5</v>
      </c>
      <c r="AL30" s="16" t="n">
        <f aca="false">N30-Z30</f>
        <v>-19</v>
      </c>
    </row>
    <row r="31" customFormat="false" ht="15" hidden="false" customHeight="false" outlineLevel="0" collapsed="false">
      <c r="A31" s="6" t="s">
        <v>67</v>
      </c>
      <c r="B31" s="7" t="s">
        <v>68</v>
      </c>
      <c r="C31" s="38" t="s">
        <v>179</v>
      </c>
      <c r="D31" s="16" t="n">
        <f aca="false">AVERAGEIF('United Games For'!$A$5:$A$22,D$5,'United Games For'!AC$5:AC$22)</f>
        <v>21</v>
      </c>
      <c r="E31" s="16" t="n">
        <f aca="false">AVERAGEIF('United Games For'!$A$5:$A$22,E$5,'United Games For'!AC$5:AC$22)</f>
        <v>16.5</v>
      </c>
      <c r="F31" s="16" t="n">
        <f aca="false">AVERAGEIF('United Games For'!$A$5:$A$22,F$5,'United Games For'!AC$5:AC$22)</f>
        <v>14</v>
      </c>
      <c r="G31" s="16" t="n">
        <f aca="false">AVERAGEIF('United Games For'!$A$5:$A$22,G$5,'United Games For'!AC$5:AC$22)</f>
        <v>16</v>
      </c>
      <c r="H31" s="16" t="n">
        <f aca="false">AVERAGEIF('United Games For'!$A$5:$A$22,H$5,'United Games For'!AC$5:AC$22)</f>
        <v>19</v>
      </c>
      <c r="I31" s="16" t="n">
        <f aca="false">AVERAGEIF('United Games For'!$A$5:$A$22,I$5,'United Games For'!AC$5:AC$22)</f>
        <v>22</v>
      </c>
      <c r="J31" s="16" t="n">
        <f aca="false">AVERAGEIF('United Games For'!$A$5:$A$22,J$5,'United Games For'!AC$5:AC$22)</f>
        <v>24</v>
      </c>
      <c r="K31" s="16" t="n">
        <f aca="false">AVERAGEIF('United Games For'!$A$5:$A$22,K$5,'United Games For'!AC$5:AC$22)</f>
        <v>19</v>
      </c>
      <c r="L31" s="16" t="n">
        <f aca="false">AVERAGEIF('United Games For'!$A$5:$A$22,L$5,'United Games For'!AC$5:AC$22)</f>
        <v>19.5</v>
      </c>
      <c r="M31" s="16" t="n">
        <f aca="false">AVERAGEIF('United Games For'!$A$5:$A$22,M$5,'United Games For'!AC$5:AC$22)</f>
        <v>17.5</v>
      </c>
      <c r="N31" s="16" t="n">
        <f aca="false">AVERAGEIF('United Games For'!$A$5:$A$22,N$5,'United Games For'!AC$5:AC$22)</f>
        <v>15.5</v>
      </c>
      <c r="P31" s="16" t="n">
        <f aca="false">AVERAGEIF('United Games Against'!$A$5:$A$22,D$5,'United Games Against'!AC$5:AC$22)</f>
        <v>27</v>
      </c>
      <c r="Q31" s="16" t="n">
        <f aca="false">AVERAGEIF('United Games Against'!$A$5:$A$22,E$5,'United Games Against'!AC$5:AC$22)</f>
        <v>15.5</v>
      </c>
      <c r="R31" s="16" t="n">
        <f aca="false">AVERAGEIF('United Games Against'!$A$5:$A$22,F$5,'United Games Against'!AC$5:AC$22)</f>
        <v>15</v>
      </c>
      <c r="S31" s="16" t="n">
        <f aca="false">AVERAGEIF('United Games Against'!$A$5:$A$22,G$5,'United Games Against'!AC$5:AC$22)</f>
        <v>12</v>
      </c>
      <c r="T31" s="16" t="n">
        <f aca="false">AVERAGEIF('United Games Against'!$A$5:$A$22,H$5,'United Games Against'!AC$5:AC$22)</f>
        <v>26.5</v>
      </c>
      <c r="U31" s="16" t="n">
        <f aca="false">AVERAGEIF('United Games Against'!$A$5:$A$22,I$5,'United Games Against'!AC$5:AC$22)</f>
        <v>27</v>
      </c>
      <c r="V31" s="16" t="n">
        <f aca="false">AVERAGEIF('United Games Against'!$A$5:$A$22,J$5,'United Games Against'!AC$5:AC$22)</f>
        <v>24</v>
      </c>
      <c r="W31" s="16" t="n">
        <f aca="false">AVERAGEIF('United Games Against'!$A$5:$A$22,K$5,'United Games Against'!AC$5:AC$22)</f>
        <v>22</v>
      </c>
      <c r="X31" s="16" t="n">
        <f aca="false">AVERAGEIF('United Games Against'!$A$5:$A$22,L$5,'United Games Against'!AC$5:AC$22)</f>
        <v>22.5</v>
      </c>
      <c r="Y31" s="16" t="n">
        <f aca="false">AVERAGEIF('United Games Against'!$A$5:$A$22,M$5,'United Games Against'!AC$5:AC$22)</f>
        <v>17.5</v>
      </c>
      <c r="Z31" s="16" t="n">
        <f aca="false">AVERAGEIF('United Games Against'!$A$5:$A$22,N$5,'United Games Against'!AC$5:AC$22)</f>
        <v>11</v>
      </c>
      <c r="AB31" s="16" t="n">
        <f aca="false">D31-P31</f>
        <v>-6</v>
      </c>
      <c r="AC31" s="16" t="n">
        <f aca="false">E31-Q31</f>
        <v>1</v>
      </c>
      <c r="AD31" s="16" t="n">
        <f aca="false">F31-R31</f>
        <v>-1</v>
      </c>
      <c r="AE31" s="16" t="n">
        <f aca="false">G31-S31</f>
        <v>4</v>
      </c>
      <c r="AF31" s="16" t="n">
        <f aca="false">H31-T31</f>
        <v>-7.5</v>
      </c>
      <c r="AG31" s="16" t="n">
        <f aca="false">I31-U31</f>
        <v>-5</v>
      </c>
      <c r="AH31" s="16" t="n">
        <f aca="false">J31-V31</f>
        <v>0</v>
      </c>
      <c r="AI31" s="16" t="n">
        <f aca="false">K31-W31</f>
        <v>-3</v>
      </c>
      <c r="AJ31" s="16" t="n">
        <f aca="false">L31-X31</f>
        <v>-3</v>
      </c>
      <c r="AK31" s="16" t="n">
        <f aca="false">M31-Y31</f>
        <v>0</v>
      </c>
      <c r="AL31" s="16" t="n">
        <f aca="false">N31-Z31</f>
        <v>4.5</v>
      </c>
    </row>
    <row r="32" customFormat="false" ht="15" hidden="false" customHeight="false" outlineLevel="0" collapsed="false">
      <c r="A32" s="6" t="s">
        <v>111</v>
      </c>
      <c r="B32" s="7" t="s">
        <v>112</v>
      </c>
      <c r="C32" s="38" t="s">
        <v>181</v>
      </c>
      <c r="D32" s="16" t="n">
        <f aca="false">AVERAGEIF('United Games For'!$A$5:$A$22,D$5,'United Games For'!AD$5:AD$22)</f>
        <v>4</v>
      </c>
      <c r="E32" s="16" t="n">
        <f aca="false">AVERAGEIF('United Games For'!$A$5:$A$22,E$5,'United Games For'!AD$5:AD$22)</f>
        <v>8</v>
      </c>
      <c r="F32" s="16" t="n">
        <f aca="false">AVERAGEIF('United Games For'!$A$5:$A$22,F$5,'United Games For'!AD$5:AD$22)</f>
        <v>11</v>
      </c>
      <c r="G32" s="16" t="n">
        <f aca="false">AVERAGEIF('United Games For'!$A$5:$A$22,G$5,'United Games For'!AD$5:AD$22)</f>
        <v>7</v>
      </c>
      <c r="H32" s="16" t="n">
        <f aca="false">AVERAGEIF('United Games For'!$A$5:$A$22,H$5,'United Games For'!AD$5:AD$22)</f>
        <v>14</v>
      </c>
      <c r="I32" s="16" t="n">
        <f aca="false">AVERAGEIF('United Games For'!$A$5:$A$22,I$5,'United Games For'!AD$5:AD$22)</f>
        <v>10</v>
      </c>
      <c r="J32" s="16" t="n">
        <f aca="false">AVERAGEIF('United Games For'!$A$5:$A$22,J$5,'United Games For'!AD$5:AD$22)</f>
        <v>10</v>
      </c>
      <c r="K32" s="16" t="n">
        <f aca="false">AVERAGEIF('United Games For'!$A$5:$A$22,K$5,'United Games For'!AD$5:AD$22)</f>
        <v>7</v>
      </c>
      <c r="L32" s="16" t="n">
        <f aca="false">AVERAGEIF('United Games For'!$A$5:$A$22,L$5,'United Games For'!AD$5:AD$22)</f>
        <v>9</v>
      </c>
      <c r="M32" s="16" t="n">
        <f aca="false">AVERAGEIF('United Games For'!$A$5:$A$22,M$5,'United Games For'!AD$5:AD$22)</f>
        <v>11</v>
      </c>
      <c r="N32" s="16" t="n">
        <f aca="false">AVERAGEIF('United Games For'!$A$5:$A$22,N$5,'United Games For'!AD$5:AD$22)</f>
        <v>5.5</v>
      </c>
      <c r="P32" s="16" t="n">
        <f aca="false">AVERAGEIF('United Games Against'!$A$5:$A$22,D$5,'United Games Against'!AD$5:AD$22)</f>
        <v>10</v>
      </c>
      <c r="Q32" s="16" t="n">
        <f aca="false">AVERAGEIF('United Games Against'!$A$5:$A$22,E$5,'United Games Against'!AD$5:AD$22)</f>
        <v>11.5</v>
      </c>
      <c r="R32" s="16" t="n">
        <f aca="false">AVERAGEIF('United Games Against'!$A$5:$A$22,F$5,'United Games Against'!AD$5:AD$22)</f>
        <v>10.5</v>
      </c>
      <c r="S32" s="16" t="n">
        <f aca="false">AVERAGEIF('United Games Against'!$A$5:$A$22,G$5,'United Games Against'!AD$5:AD$22)</f>
        <v>19</v>
      </c>
      <c r="T32" s="16" t="n">
        <f aca="false">AVERAGEIF('United Games Against'!$A$5:$A$22,H$5,'United Games Against'!AD$5:AD$22)</f>
        <v>9</v>
      </c>
      <c r="U32" s="16" t="n">
        <f aca="false">AVERAGEIF('United Games Against'!$A$5:$A$22,I$5,'United Games Against'!AD$5:AD$22)</f>
        <v>11</v>
      </c>
      <c r="V32" s="16" t="n">
        <f aca="false">AVERAGEIF('United Games Against'!$A$5:$A$22,J$5,'United Games Against'!AD$5:AD$22)</f>
        <v>12</v>
      </c>
      <c r="W32" s="16" t="n">
        <f aca="false">AVERAGEIF('United Games Against'!$A$5:$A$22,K$5,'United Games Against'!AD$5:AD$22)</f>
        <v>15</v>
      </c>
      <c r="X32" s="16" t="n">
        <f aca="false">AVERAGEIF('United Games Against'!$A$5:$A$22,L$5,'United Games Against'!AD$5:AD$22)</f>
        <v>5.5</v>
      </c>
      <c r="Y32" s="16" t="n">
        <f aca="false">AVERAGEIF('United Games Against'!$A$5:$A$22,M$5,'United Games Against'!AD$5:AD$22)</f>
        <v>11.5</v>
      </c>
      <c r="Z32" s="16" t="n">
        <f aca="false">AVERAGEIF('United Games Against'!$A$5:$A$22,N$5,'United Games Against'!AD$5:AD$22)</f>
        <v>15</v>
      </c>
      <c r="AB32" s="16" t="n">
        <f aca="false">D32-P32</f>
        <v>-6</v>
      </c>
      <c r="AC32" s="16" t="n">
        <f aca="false">E32-Q32</f>
        <v>-3.5</v>
      </c>
      <c r="AD32" s="16" t="n">
        <f aca="false">F32-R32</f>
        <v>0.5</v>
      </c>
      <c r="AE32" s="16" t="n">
        <f aca="false">G32-S32</f>
        <v>-12</v>
      </c>
      <c r="AF32" s="16" t="n">
        <f aca="false">H32-T32</f>
        <v>5</v>
      </c>
      <c r="AG32" s="16" t="n">
        <f aca="false">I32-U32</f>
        <v>-1</v>
      </c>
      <c r="AH32" s="16" t="n">
        <f aca="false">J32-V32</f>
        <v>-2</v>
      </c>
      <c r="AI32" s="16" t="n">
        <f aca="false">K32-W32</f>
        <v>-8</v>
      </c>
      <c r="AJ32" s="16" t="n">
        <f aca="false">L32-X32</f>
        <v>3.5</v>
      </c>
      <c r="AK32" s="16" t="n">
        <f aca="false">M32-Y32</f>
        <v>-0.5</v>
      </c>
      <c r="AL32" s="16" t="n">
        <f aca="false">N32-Z32</f>
        <v>-9.5</v>
      </c>
    </row>
    <row r="33" customFormat="false" ht="15" hidden="false" customHeight="false" outlineLevel="0" collapsed="false">
      <c r="A33" s="6" t="s">
        <v>31</v>
      </c>
      <c r="B33" s="7" t="s">
        <v>32</v>
      </c>
      <c r="C33" s="38" t="s">
        <v>179</v>
      </c>
      <c r="D33" s="16" t="n">
        <f aca="false">AVERAGEIF('United Games For'!$A$5:$A$22,D$5,'United Games For'!AE$5:AE$22)</f>
        <v>42</v>
      </c>
      <c r="E33" s="16" t="n">
        <f aca="false">AVERAGEIF('United Games For'!$A$5:$A$22,E$5,'United Games For'!AE$5:AE$22)</f>
        <v>35</v>
      </c>
      <c r="F33" s="16" t="n">
        <f aca="false">AVERAGEIF('United Games For'!$A$5:$A$22,F$5,'United Games For'!AE$5:AE$22)</f>
        <v>29.5</v>
      </c>
      <c r="G33" s="16" t="n">
        <f aca="false">AVERAGEIF('United Games For'!$A$5:$A$22,G$5,'United Games For'!AE$5:AE$22)</f>
        <v>72</v>
      </c>
      <c r="H33" s="16" t="n">
        <f aca="false">AVERAGEIF('United Games For'!$A$5:$A$22,H$5,'United Games For'!AE$5:AE$22)</f>
        <v>28.5</v>
      </c>
      <c r="I33" s="16" t="n">
        <f aca="false">AVERAGEIF('United Games For'!$A$5:$A$22,I$5,'United Games For'!AE$5:AE$22)</f>
        <v>39</v>
      </c>
      <c r="J33" s="16" t="n">
        <f aca="false">AVERAGEIF('United Games For'!$A$5:$A$22,J$5,'United Games For'!AE$5:AE$22)</f>
        <v>31</v>
      </c>
      <c r="K33" s="16" t="n">
        <f aca="false">AVERAGEIF('United Games For'!$A$5:$A$22,K$5,'United Games For'!AE$5:AE$22)</f>
        <v>57</v>
      </c>
      <c r="L33" s="16" t="n">
        <f aca="false">AVERAGEIF('United Games For'!$A$5:$A$22,L$5,'United Games For'!AE$5:AE$22)</f>
        <v>29.5</v>
      </c>
      <c r="M33" s="16" t="n">
        <f aca="false">AVERAGEIF('United Games For'!$A$5:$A$22,M$5,'United Games For'!AE$5:AE$22)</f>
        <v>36.5</v>
      </c>
      <c r="N33" s="16" t="n">
        <f aca="false">AVERAGEIF('United Games For'!$A$5:$A$22,N$5,'United Games For'!AE$5:AE$22)</f>
        <v>28</v>
      </c>
      <c r="P33" s="16" t="n">
        <f aca="false">AVERAGEIF('United Games Against'!$A$5:$A$22,D$5,'United Games Against'!AE$5:AE$22)</f>
        <v>62</v>
      </c>
      <c r="Q33" s="16" t="n">
        <f aca="false">AVERAGEIF('United Games Against'!$A$5:$A$22,E$5,'United Games Against'!AE$5:AE$22)</f>
        <v>39.5</v>
      </c>
      <c r="R33" s="16" t="n">
        <f aca="false">AVERAGEIF('United Games Against'!$A$5:$A$22,F$5,'United Games Against'!AE$5:AE$22)</f>
        <v>43.5</v>
      </c>
      <c r="S33" s="16" t="n">
        <f aca="false">AVERAGEIF('United Games Against'!$A$5:$A$22,G$5,'United Games Against'!AE$5:AE$22)</f>
        <v>48</v>
      </c>
      <c r="T33" s="16" t="n">
        <f aca="false">AVERAGEIF('United Games Against'!$A$5:$A$22,H$5,'United Games Against'!AE$5:AE$22)</f>
        <v>38</v>
      </c>
      <c r="U33" s="16" t="n">
        <f aca="false">AVERAGEIF('United Games Against'!$A$5:$A$22,I$5,'United Games Against'!AE$5:AE$22)</f>
        <v>41.5</v>
      </c>
      <c r="V33" s="16" t="n">
        <f aca="false">AVERAGEIF('United Games Against'!$A$5:$A$22,J$5,'United Games Against'!AE$5:AE$22)</f>
        <v>47</v>
      </c>
      <c r="W33" s="16" t="n">
        <f aca="false">AVERAGEIF('United Games Against'!$A$5:$A$22,K$5,'United Games Against'!AE$5:AE$22)</f>
        <v>49</v>
      </c>
      <c r="X33" s="16" t="n">
        <f aca="false">AVERAGEIF('United Games Against'!$A$5:$A$22,L$5,'United Games Against'!AE$5:AE$22)</f>
        <v>30</v>
      </c>
      <c r="Y33" s="16" t="n">
        <f aca="false">AVERAGEIF('United Games Against'!$A$5:$A$22,M$5,'United Games Against'!AE$5:AE$22)</f>
        <v>51</v>
      </c>
      <c r="Z33" s="16" t="n">
        <f aca="false">AVERAGEIF('United Games Against'!$A$5:$A$22,N$5,'United Games Against'!AE$5:AE$22)</f>
        <v>39</v>
      </c>
      <c r="AB33" s="16" t="n">
        <f aca="false">D33-P33</f>
        <v>-20</v>
      </c>
      <c r="AC33" s="16" t="n">
        <f aca="false">E33-Q33</f>
        <v>-4.5</v>
      </c>
      <c r="AD33" s="16" t="n">
        <f aca="false">F33-R33</f>
        <v>-14</v>
      </c>
      <c r="AE33" s="16" t="n">
        <f aca="false">G33-S33</f>
        <v>24</v>
      </c>
      <c r="AF33" s="16" t="n">
        <f aca="false">H33-T33</f>
        <v>-9.5</v>
      </c>
      <c r="AG33" s="16" t="n">
        <f aca="false">I33-U33</f>
        <v>-2.5</v>
      </c>
      <c r="AH33" s="16" t="n">
        <f aca="false">J33-V33</f>
        <v>-16</v>
      </c>
      <c r="AI33" s="16" t="n">
        <f aca="false">K33-W33</f>
        <v>8</v>
      </c>
      <c r="AJ33" s="16" t="n">
        <f aca="false">L33-X33</f>
        <v>-0.5</v>
      </c>
      <c r="AK33" s="16" t="n">
        <f aca="false">M33-Y33</f>
        <v>-14.5</v>
      </c>
      <c r="AL33" s="16" t="n">
        <f aca="false">N33-Z33</f>
        <v>-11</v>
      </c>
    </row>
    <row r="34" customFormat="false" ht="15" hidden="false" customHeight="false" outlineLevel="0" collapsed="false">
      <c r="A34" s="6" t="s">
        <v>159</v>
      </c>
      <c r="B34" s="7" t="s">
        <v>160</v>
      </c>
      <c r="C34" s="38" t="s">
        <v>180</v>
      </c>
      <c r="D34" s="16" t="n">
        <f aca="false">AVERAGEIF('United Games For'!$A$5:$A$22,D$5,'United Games For'!AF$5:AF$22)</f>
        <v>68</v>
      </c>
      <c r="E34" s="16" t="n">
        <f aca="false">AVERAGEIF('United Games For'!$A$5:$A$22,E$5,'United Games For'!AF$5:AF$22)</f>
        <v>65</v>
      </c>
      <c r="F34" s="16" t="n">
        <f aca="false">AVERAGEIF('United Games For'!$A$5:$A$22,F$5,'United Games For'!AF$5:AF$22)</f>
        <v>59.5</v>
      </c>
      <c r="G34" s="16" t="n">
        <f aca="false">AVERAGEIF('United Games For'!$A$5:$A$22,G$5,'United Games For'!AF$5:AF$22)</f>
        <v>63</v>
      </c>
      <c r="H34" s="16" t="n">
        <f aca="false">AVERAGEIF('United Games For'!$A$5:$A$22,H$5,'United Games For'!AF$5:AF$22)</f>
        <v>68.5</v>
      </c>
      <c r="I34" s="16" t="n">
        <f aca="false">AVERAGEIF('United Games For'!$A$5:$A$22,I$5,'United Games For'!AF$5:AF$22)</f>
        <v>72.5</v>
      </c>
      <c r="J34" s="16" t="n">
        <f aca="false">AVERAGEIF('United Games For'!$A$5:$A$22,J$5,'United Games For'!AF$5:AF$22)</f>
        <v>69</v>
      </c>
      <c r="K34" s="16" t="n">
        <f aca="false">AVERAGEIF('United Games For'!$A$5:$A$22,K$5,'United Games For'!AF$5:AF$22)</f>
        <v>61</v>
      </c>
      <c r="L34" s="16" t="n">
        <f aca="false">AVERAGEIF('United Games For'!$A$5:$A$22,L$5,'United Games For'!AF$5:AF$22)</f>
        <v>82.5</v>
      </c>
      <c r="M34" s="16" t="n">
        <f aca="false">AVERAGEIF('United Games For'!$A$5:$A$22,M$5,'United Games For'!AF$5:AF$22)</f>
        <v>78</v>
      </c>
      <c r="N34" s="16" t="n">
        <f aca="false">AVERAGEIF('United Games For'!$A$5:$A$22,N$5,'United Games For'!AF$5:AF$22)</f>
        <v>61</v>
      </c>
      <c r="P34" s="16" t="n">
        <f aca="false">AVERAGEIF('United Games Against'!$A$5:$A$22,D$5,'United Games Against'!AF$5:AF$22)</f>
        <v>77</v>
      </c>
      <c r="Q34" s="16" t="n">
        <f aca="false">AVERAGEIF('United Games Against'!$A$5:$A$22,E$5,'United Games Against'!AF$5:AF$22)</f>
        <v>70.5</v>
      </c>
      <c r="R34" s="16" t="n">
        <f aca="false">AVERAGEIF('United Games Against'!$A$5:$A$22,F$5,'United Games Against'!AF$5:AF$22)</f>
        <v>57</v>
      </c>
      <c r="S34" s="16" t="n">
        <f aca="false">AVERAGEIF('United Games Against'!$A$5:$A$22,G$5,'United Games Against'!AF$5:AF$22)</f>
        <v>63</v>
      </c>
      <c r="T34" s="16" t="n">
        <f aca="false">AVERAGEIF('United Games Against'!$A$5:$A$22,H$5,'United Games Against'!AF$5:AF$22)</f>
        <v>63.5</v>
      </c>
      <c r="U34" s="16" t="n">
        <f aca="false">AVERAGEIF('United Games Against'!$A$5:$A$22,I$5,'United Games Against'!AF$5:AF$22)</f>
        <v>75</v>
      </c>
      <c r="V34" s="16" t="n">
        <f aca="false">AVERAGEIF('United Games Against'!$A$5:$A$22,J$5,'United Games Against'!AF$5:AF$22)</f>
        <v>86</v>
      </c>
      <c r="W34" s="16" t="n">
        <f aca="false">AVERAGEIF('United Games Against'!$A$5:$A$22,K$5,'United Games Against'!AF$5:AF$22)</f>
        <v>76</v>
      </c>
      <c r="X34" s="16" t="n">
        <f aca="false">AVERAGEIF('United Games Against'!$A$5:$A$22,L$5,'United Games Against'!AF$5:AF$22)</f>
        <v>78</v>
      </c>
      <c r="Y34" s="16" t="n">
        <f aca="false">AVERAGEIF('United Games Against'!$A$5:$A$22,M$5,'United Games Against'!AF$5:AF$22)</f>
        <v>77.5</v>
      </c>
      <c r="Z34" s="16" t="n">
        <f aca="false">AVERAGEIF('United Games Against'!$A$5:$A$22,N$5,'United Games Against'!AF$5:AF$22)</f>
        <v>72</v>
      </c>
      <c r="AB34" s="16" t="n">
        <f aca="false">D34-P34</f>
        <v>-9</v>
      </c>
      <c r="AC34" s="16" t="n">
        <f aca="false">E34-Q34</f>
        <v>-5.5</v>
      </c>
      <c r="AD34" s="16" t="n">
        <f aca="false">F34-R34</f>
        <v>2.5</v>
      </c>
      <c r="AE34" s="16" t="n">
        <f aca="false">G34-S34</f>
        <v>0</v>
      </c>
      <c r="AF34" s="16" t="n">
        <f aca="false">H34-T34</f>
        <v>5</v>
      </c>
      <c r="AG34" s="16" t="n">
        <f aca="false">I34-U34</f>
        <v>-2.5</v>
      </c>
      <c r="AH34" s="16" t="n">
        <f aca="false">J34-V34</f>
        <v>-17</v>
      </c>
      <c r="AI34" s="16" t="n">
        <f aca="false">K34-W34</f>
        <v>-15</v>
      </c>
      <c r="AJ34" s="16" t="n">
        <f aca="false">L34-X34</f>
        <v>4.5</v>
      </c>
      <c r="AK34" s="16" t="n">
        <f aca="false">M34-Y34</f>
        <v>0.5</v>
      </c>
      <c r="AL34" s="16" t="n">
        <f aca="false">N34-Z34</f>
        <v>-11</v>
      </c>
    </row>
    <row r="35" customFormat="false" ht="15" hidden="false" customHeight="false" outlineLevel="0" collapsed="false">
      <c r="A35" s="6" t="s">
        <v>39</v>
      </c>
      <c r="B35" s="7" t="s">
        <v>40</v>
      </c>
      <c r="C35" s="38" t="s">
        <v>180</v>
      </c>
      <c r="D35" s="16" t="n">
        <f aca="false">AVERAGEIF('United Games For'!$A$5:$A$22,D$5,'United Games For'!AG$5:AG$22)</f>
        <v>2</v>
      </c>
      <c r="E35" s="16" t="n">
        <f aca="false">AVERAGEIF('United Games For'!$A$5:$A$22,E$5,'United Games For'!AG$5:AG$22)</f>
        <v>7</v>
      </c>
      <c r="F35" s="16" t="n">
        <f aca="false">AVERAGEIF('United Games For'!$A$5:$A$22,F$5,'United Games For'!AG$5:AG$22)</f>
        <v>5</v>
      </c>
      <c r="G35" s="16" t="n">
        <f aca="false">AVERAGEIF('United Games For'!$A$5:$A$22,G$5,'United Games For'!AG$5:AG$22)</f>
        <v>4</v>
      </c>
      <c r="H35" s="16" t="n">
        <f aca="false">AVERAGEIF('United Games For'!$A$5:$A$22,H$5,'United Games For'!AG$5:AG$22)</f>
        <v>5</v>
      </c>
      <c r="I35" s="16" t="n">
        <f aca="false">AVERAGEIF('United Games For'!$A$5:$A$22,I$5,'United Games For'!AG$5:AG$22)</f>
        <v>6.5</v>
      </c>
      <c r="J35" s="16" t="n">
        <f aca="false">AVERAGEIF('United Games For'!$A$5:$A$22,J$5,'United Games For'!AG$5:AG$22)</f>
        <v>4</v>
      </c>
      <c r="K35" s="16" t="n">
        <f aca="false">AVERAGEIF('United Games For'!$A$5:$A$22,K$5,'United Games For'!AG$5:AG$22)</f>
        <v>3</v>
      </c>
      <c r="L35" s="16" t="n">
        <f aca="false">AVERAGEIF('United Games For'!$A$5:$A$22,L$5,'United Games For'!AG$5:AG$22)</f>
        <v>8</v>
      </c>
      <c r="M35" s="16" t="n">
        <f aca="false">AVERAGEIF('United Games For'!$A$5:$A$22,M$5,'United Games For'!AG$5:AG$22)</f>
        <v>4.5</v>
      </c>
      <c r="N35" s="16" t="n">
        <f aca="false">AVERAGEIF('United Games For'!$A$5:$A$22,N$5,'United Games For'!AG$5:AG$22)</f>
        <v>2.5</v>
      </c>
      <c r="P35" s="16" t="n">
        <f aca="false">AVERAGEIF('United Games Against'!$A$5:$A$22,D$5,'United Games Against'!AG$5:AG$22)</f>
        <v>12</v>
      </c>
      <c r="Q35" s="16" t="n">
        <f aca="false">AVERAGEIF('United Games Against'!$A$5:$A$22,E$5,'United Games Against'!AG$5:AG$22)</f>
        <v>4.5</v>
      </c>
      <c r="R35" s="16" t="n">
        <f aca="false">AVERAGEIF('United Games Against'!$A$5:$A$22,F$5,'United Games Against'!AG$5:AG$22)</f>
        <v>4.5</v>
      </c>
      <c r="S35" s="16" t="n">
        <f aca="false">AVERAGEIF('United Games Against'!$A$5:$A$22,G$5,'United Games Against'!AG$5:AG$22)</f>
        <v>4</v>
      </c>
      <c r="T35" s="16" t="n">
        <f aca="false">AVERAGEIF('United Games Against'!$A$5:$A$22,H$5,'United Games Against'!AG$5:AG$22)</f>
        <v>4</v>
      </c>
      <c r="U35" s="16" t="n">
        <f aca="false">AVERAGEIF('United Games Against'!$A$5:$A$22,I$5,'United Games Against'!AG$5:AG$22)</f>
        <v>6</v>
      </c>
      <c r="V35" s="16" t="n">
        <f aca="false">AVERAGEIF('United Games Against'!$A$5:$A$22,J$5,'United Games Against'!AG$5:AG$22)</f>
        <v>4</v>
      </c>
      <c r="W35" s="16" t="n">
        <f aca="false">AVERAGEIF('United Games Against'!$A$5:$A$22,K$5,'United Games Against'!AG$5:AG$22)</f>
        <v>8</v>
      </c>
      <c r="X35" s="16" t="n">
        <f aca="false">AVERAGEIF('United Games Against'!$A$5:$A$22,L$5,'United Games Against'!AG$5:AG$22)</f>
        <v>4</v>
      </c>
      <c r="Y35" s="16" t="n">
        <f aca="false">AVERAGEIF('United Games Against'!$A$5:$A$22,M$5,'United Games Against'!AG$5:AG$22)</f>
        <v>3</v>
      </c>
      <c r="Z35" s="16" t="n">
        <f aca="false">AVERAGEIF('United Games Against'!$A$5:$A$22,N$5,'United Games Against'!AG$5:AG$22)</f>
        <v>10.5</v>
      </c>
      <c r="AB35" s="16" t="n">
        <f aca="false">D35-P35</f>
        <v>-10</v>
      </c>
      <c r="AC35" s="16" t="n">
        <f aca="false">E35-Q35</f>
        <v>2.5</v>
      </c>
      <c r="AD35" s="16" t="n">
        <f aca="false">F35-R35</f>
        <v>0.5</v>
      </c>
      <c r="AE35" s="16" t="n">
        <f aca="false">G35-S35</f>
        <v>0</v>
      </c>
      <c r="AF35" s="16" t="n">
        <f aca="false">H35-T35</f>
        <v>1</v>
      </c>
      <c r="AG35" s="16" t="n">
        <f aca="false">I35-U35</f>
        <v>0.5</v>
      </c>
      <c r="AH35" s="16" t="n">
        <f aca="false">J35-V35</f>
        <v>0</v>
      </c>
      <c r="AI35" s="16" t="n">
        <f aca="false">K35-W35</f>
        <v>-5</v>
      </c>
      <c r="AJ35" s="16" t="n">
        <f aca="false">L35-X35</f>
        <v>4</v>
      </c>
      <c r="AK35" s="16" t="n">
        <f aca="false">M35-Y35</f>
        <v>1.5</v>
      </c>
      <c r="AL35" s="16" t="n">
        <f aca="false">N35-Z35</f>
        <v>-8</v>
      </c>
    </row>
    <row r="36" customFormat="false" ht="15" hidden="false" customHeight="false" outlineLevel="0" collapsed="false">
      <c r="A36" s="6" t="s">
        <v>125</v>
      </c>
      <c r="B36" s="7" t="s">
        <v>126</v>
      </c>
      <c r="C36" s="38" t="s">
        <v>180</v>
      </c>
      <c r="D36" s="16" t="n">
        <f aca="false">AVERAGEIF('United Games For'!$A$5:$A$22,D$5,'United Games For'!AH$5:AH$22)</f>
        <v>30</v>
      </c>
      <c r="E36" s="16" t="n">
        <f aca="false">AVERAGEIF('United Games For'!$A$5:$A$22,E$5,'United Games For'!AH$5:AH$22)</f>
        <v>41.5</v>
      </c>
      <c r="F36" s="16" t="n">
        <f aca="false">AVERAGEIF('United Games For'!$A$5:$A$22,F$5,'United Games For'!AH$5:AH$22)</f>
        <v>35</v>
      </c>
      <c r="G36" s="16" t="n">
        <f aca="false">AVERAGEIF('United Games For'!$A$5:$A$22,G$5,'United Games For'!AH$5:AH$22)</f>
        <v>41</v>
      </c>
      <c r="H36" s="16" t="n">
        <f aca="false">AVERAGEIF('United Games For'!$A$5:$A$22,H$5,'United Games For'!AH$5:AH$22)</f>
        <v>40.5</v>
      </c>
      <c r="I36" s="16" t="n">
        <f aca="false">AVERAGEIF('United Games For'!$A$5:$A$22,I$5,'United Games For'!AH$5:AH$22)</f>
        <v>36</v>
      </c>
      <c r="J36" s="16" t="n">
        <f aca="false">AVERAGEIF('United Games For'!$A$5:$A$22,J$5,'United Games For'!AH$5:AH$22)</f>
        <v>47</v>
      </c>
      <c r="K36" s="16" t="n">
        <f aca="false">AVERAGEIF('United Games For'!$A$5:$A$22,K$5,'United Games For'!AH$5:AH$22)</f>
        <v>35</v>
      </c>
      <c r="L36" s="16" t="n">
        <f aca="false">AVERAGEIF('United Games For'!$A$5:$A$22,L$5,'United Games For'!AH$5:AH$22)</f>
        <v>47</v>
      </c>
      <c r="M36" s="16" t="n">
        <f aca="false">AVERAGEIF('United Games For'!$A$5:$A$22,M$5,'United Games For'!AH$5:AH$22)</f>
        <v>47</v>
      </c>
      <c r="N36" s="16" t="n">
        <f aca="false">AVERAGEIF('United Games For'!$A$5:$A$22,N$5,'United Games For'!AH$5:AH$22)</f>
        <v>27.5</v>
      </c>
      <c r="P36" s="16" t="n">
        <f aca="false">AVERAGEIF('United Games Against'!$A$5:$A$22,D$5,'United Games Against'!AH$5:AH$22)</f>
        <v>46</v>
      </c>
      <c r="Q36" s="16" t="n">
        <f aca="false">AVERAGEIF('United Games Against'!$A$5:$A$22,E$5,'United Games Against'!AH$5:AH$22)</f>
        <v>40.5</v>
      </c>
      <c r="R36" s="16" t="n">
        <f aca="false">AVERAGEIF('United Games Against'!$A$5:$A$22,F$5,'United Games Against'!AH$5:AH$22)</f>
        <v>38.5</v>
      </c>
      <c r="S36" s="16" t="n">
        <f aca="false">AVERAGEIF('United Games Against'!$A$5:$A$22,G$5,'United Games Against'!AH$5:AH$22)</f>
        <v>38</v>
      </c>
      <c r="T36" s="16" t="n">
        <f aca="false">AVERAGEIF('United Games Against'!$A$5:$A$22,H$5,'United Games Against'!AH$5:AH$22)</f>
        <v>37.5</v>
      </c>
      <c r="U36" s="16" t="n">
        <f aca="false">AVERAGEIF('United Games Against'!$A$5:$A$22,I$5,'United Games Against'!AH$5:AH$22)</f>
        <v>49.5</v>
      </c>
      <c r="V36" s="16" t="n">
        <f aca="false">AVERAGEIF('United Games Against'!$A$5:$A$22,J$5,'United Games Against'!AH$5:AH$22)</f>
        <v>44</v>
      </c>
      <c r="W36" s="16" t="n">
        <f aca="false">AVERAGEIF('United Games Against'!$A$5:$A$22,K$5,'United Games Against'!AH$5:AH$22)</f>
        <v>43</v>
      </c>
      <c r="X36" s="16" t="n">
        <f aca="false">AVERAGEIF('United Games Against'!$A$5:$A$22,L$5,'United Games Against'!AH$5:AH$22)</f>
        <v>48</v>
      </c>
      <c r="Y36" s="16" t="n">
        <f aca="false">AVERAGEIF('United Games Against'!$A$5:$A$22,M$5,'United Games Against'!AH$5:AH$22)</f>
        <v>51.5</v>
      </c>
      <c r="Z36" s="16" t="n">
        <f aca="false">AVERAGEIF('United Games Against'!$A$5:$A$22,N$5,'United Games Against'!AH$5:AH$22)</f>
        <v>48.5</v>
      </c>
      <c r="AB36" s="16" t="n">
        <f aca="false">D36-P36</f>
        <v>-16</v>
      </c>
      <c r="AC36" s="16" t="n">
        <f aca="false">E36-Q36</f>
        <v>1</v>
      </c>
      <c r="AD36" s="16" t="n">
        <f aca="false">F36-R36</f>
        <v>-3.5</v>
      </c>
      <c r="AE36" s="16" t="n">
        <f aca="false">G36-S36</f>
        <v>3</v>
      </c>
      <c r="AF36" s="16" t="n">
        <f aca="false">H36-T36</f>
        <v>3</v>
      </c>
      <c r="AG36" s="16" t="n">
        <f aca="false">I36-U36</f>
        <v>-13.5</v>
      </c>
      <c r="AH36" s="16" t="n">
        <f aca="false">J36-V36</f>
        <v>3</v>
      </c>
      <c r="AI36" s="16" t="n">
        <f aca="false">K36-W36</f>
        <v>-8</v>
      </c>
      <c r="AJ36" s="16" t="n">
        <f aca="false">L36-X36</f>
        <v>-1</v>
      </c>
      <c r="AK36" s="16" t="n">
        <f aca="false">M36-Y36</f>
        <v>-4.5</v>
      </c>
      <c r="AL36" s="16" t="n">
        <f aca="false">N36-Z36</f>
        <v>-21</v>
      </c>
    </row>
    <row r="37" customFormat="false" ht="15" hidden="false" customHeight="false" outlineLevel="0" collapsed="false">
      <c r="A37" s="6" t="s">
        <v>71</v>
      </c>
      <c r="B37" s="7" t="s">
        <v>72</v>
      </c>
      <c r="C37" s="38" t="s">
        <v>180</v>
      </c>
      <c r="D37" s="16" t="n">
        <f aca="false">AVERAGEIF('United Games For'!$A$5:$A$22,D$5,'United Games For'!AI$5:AI$22)</f>
        <v>36</v>
      </c>
      <c r="E37" s="16" t="n">
        <f aca="false">AVERAGEIF('United Games For'!$A$5:$A$22,E$5,'United Games For'!AI$5:AI$22)</f>
        <v>16.5</v>
      </c>
      <c r="F37" s="16" t="n">
        <f aca="false">AVERAGEIF('United Games For'!$A$5:$A$22,F$5,'United Games For'!AI$5:AI$22)</f>
        <v>19.5</v>
      </c>
      <c r="G37" s="16" t="n">
        <f aca="false">AVERAGEIF('United Games For'!$A$5:$A$22,G$5,'United Games For'!AI$5:AI$22)</f>
        <v>18</v>
      </c>
      <c r="H37" s="16" t="n">
        <f aca="false">AVERAGEIF('United Games For'!$A$5:$A$22,H$5,'United Games For'!AI$5:AI$22)</f>
        <v>23</v>
      </c>
      <c r="I37" s="16" t="n">
        <f aca="false">AVERAGEIF('United Games For'!$A$5:$A$22,I$5,'United Games For'!AI$5:AI$22)</f>
        <v>30</v>
      </c>
      <c r="J37" s="16" t="n">
        <f aca="false">AVERAGEIF('United Games For'!$A$5:$A$22,J$5,'United Games For'!AI$5:AI$22)</f>
        <v>18</v>
      </c>
      <c r="K37" s="16" t="n">
        <f aca="false">AVERAGEIF('United Games For'!$A$5:$A$22,K$5,'United Games For'!AI$5:AI$22)</f>
        <v>23</v>
      </c>
      <c r="L37" s="16" t="n">
        <f aca="false">AVERAGEIF('United Games For'!$A$5:$A$22,L$5,'United Games For'!AI$5:AI$22)</f>
        <v>27.5</v>
      </c>
      <c r="M37" s="16" t="n">
        <f aca="false">AVERAGEIF('United Games For'!$A$5:$A$22,M$5,'United Games For'!AI$5:AI$22)</f>
        <v>26.5</v>
      </c>
      <c r="N37" s="16" t="n">
        <f aca="false">AVERAGEIF('United Games For'!$A$5:$A$22,N$5,'United Games For'!AI$5:AI$22)</f>
        <v>31</v>
      </c>
      <c r="P37" s="16" t="n">
        <f aca="false">AVERAGEIF('United Games Against'!$A$5:$A$22,D$5,'United Games Against'!AI$5:AI$22)</f>
        <v>19</v>
      </c>
      <c r="Q37" s="16" t="n">
        <f aca="false">AVERAGEIF('United Games Against'!$A$5:$A$22,E$5,'United Games Against'!AI$5:AI$22)</f>
        <v>25.5</v>
      </c>
      <c r="R37" s="16" t="n">
        <f aca="false">AVERAGEIF('United Games Against'!$A$5:$A$22,F$5,'United Games Against'!AI$5:AI$22)</f>
        <v>14</v>
      </c>
      <c r="S37" s="16" t="n">
        <f aca="false">AVERAGEIF('United Games Against'!$A$5:$A$22,G$5,'United Games Against'!AI$5:AI$22)</f>
        <v>21</v>
      </c>
      <c r="T37" s="16" t="n">
        <f aca="false">AVERAGEIF('United Games Against'!$A$5:$A$22,H$5,'United Games Against'!AI$5:AI$22)</f>
        <v>22</v>
      </c>
      <c r="U37" s="16" t="n">
        <f aca="false">AVERAGEIF('United Games Against'!$A$5:$A$22,I$5,'United Games Against'!AI$5:AI$22)</f>
        <v>19.5</v>
      </c>
      <c r="V37" s="16" t="n">
        <f aca="false">AVERAGEIF('United Games Against'!$A$5:$A$22,J$5,'United Games Against'!AI$5:AI$22)</f>
        <v>38</v>
      </c>
      <c r="W37" s="16" t="n">
        <f aca="false">AVERAGEIF('United Games Against'!$A$5:$A$22,K$5,'United Games Against'!AI$5:AI$22)</f>
        <v>25</v>
      </c>
      <c r="X37" s="16" t="n">
        <f aca="false">AVERAGEIF('United Games Against'!$A$5:$A$22,L$5,'United Games Against'!AI$5:AI$22)</f>
        <v>26</v>
      </c>
      <c r="Y37" s="16" t="n">
        <f aca="false">AVERAGEIF('United Games Against'!$A$5:$A$22,M$5,'United Games Against'!AI$5:AI$22)</f>
        <v>23</v>
      </c>
      <c r="Z37" s="16" t="n">
        <f aca="false">AVERAGEIF('United Games Against'!$A$5:$A$22,N$5,'United Games Against'!AI$5:AI$22)</f>
        <v>13</v>
      </c>
      <c r="AB37" s="16" t="n">
        <f aca="false">D37-P37</f>
        <v>17</v>
      </c>
      <c r="AC37" s="16" t="n">
        <f aca="false">E37-Q37</f>
        <v>-9</v>
      </c>
      <c r="AD37" s="16" t="n">
        <f aca="false">F37-R37</f>
        <v>5.5</v>
      </c>
      <c r="AE37" s="16" t="n">
        <f aca="false">G37-S37</f>
        <v>-3</v>
      </c>
      <c r="AF37" s="16" t="n">
        <f aca="false">H37-T37</f>
        <v>1</v>
      </c>
      <c r="AG37" s="16" t="n">
        <f aca="false">I37-U37</f>
        <v>10.5</v>
      </c>
      <c r="AH37" s="16" t="n">
        <f aca="false">J37-V37</f>
        <v>-20</v>
      </c>
      <c r="AI37" s="16" t="n">
        <f aca="false">K37-W37</f>
        <v>-2</v>
      </c>
      <c r="AJ37" s="16" t="n">
        <f aca="false">L37-X37</f>
        <v>1.5</v>
      </c>
      <c r="AK37" s="16" t="n">
        <f aca="false">M37-Y37</f>
        <v>3.5</v>
      </c>
      <c r="AL37" s="16" t="n">
        <f aca="false">N37-Z37</f>
        <v>18</v>
      </c>
    </row>
    <row r="38" customFormat="false" ht="15" hidden="false" customHeight="false" outlineLevel="0" collapsed="false">
      <c r="A38" s="6" t="s">
        <v>127</v>
      </c>
      <c r="B38" s="7" t="s">
        <v>128</v>
      </c>
      <c r="C38" s="38" t="s">
        <v>179</v>
      </c>
      <c r="D38" s="16" t="n">
        <f aca="false">AVERAGEIF('United Games For'!$A$5:$A$22,D$5,'United Games For'!AJ$5:AJ$22)</f>
        <v>112</v>
      </c>
      <c r="E38" s="16" t="n">
        <f aca="false">AVERAGEIF('United Games For'!$A$5:$A$22,E$5,'United Games For'!AJ$5:AJ$22)</f>
        <v>101</v>
      </c>
      <c r="F38" s="16" t="n">
        <f aca="false">AVERAGEIF('United Games For'!$A$5:$A$22,F$5,'United Games For'!AJ$5:AJ$22)</f>
        <v>92</v>
      </c>
      <c r="G38" s="16" t="n">
        <f aca="false">AVERAGEIF('United Games For'!$A$5:$A$22,G$5,'United Games For'!AJ$5:AJ$22)</f>
        <v>101</v>
      </c>
      <c r="H38" s="16" t="n">
        <f aca="false">AVERAGEIF('United Games For'!$A$5:$A$22,H$5,'United Games For'!AJ$5:AJ$22)</f>
        <v>92.5</v>
      </c>
      <c r="I38" s="16" t="n">
        <f aca="false">AVERAGEIF('United Games For'!$A$5:$A$22,I$5,'United Games For'!AJ$5:AJ$22)</f>
        <v>124</v>
      </c>
      <c r="J38" s="16" t="n">
        <f aca="false">AVERAGEIF('United Games For'!$A$5:$A$22,J$5,'United Games For'!AJ$5:AJ$22)</f>
        <v>117</v>
      </c>
      <c r="K38" s="16" t="n">
        <f aca="false">AVERAGEIF('United Games For'!$A$5:$A$22,K$5,'United Games For'!AJ$5:AJ$22)</f>
        <v>125</v>
      </c>
      <c r="L38" s="16" t="n">
        <f aca="false">AVERAGEIF('United Games For'!$A$5:$A$22,L$5,'United Games For'!AJ$5:AJ$22)</f>
        <v>99.5</v>
      </c>
      <c r="M38" s="16" t="n">
        <f aca="false">AVERAGEIF('United Games For'!$A$5:$A$22,M$5,'United Games For'!AJ$5:AJ$22)</f>
        <v>114</v>
      </c>
      <c r="N38" s="16" t="n">
        <f aca="false">AVERAGEIF('United Games For'!$A$5:$A$22,N$5,'United Games For'!AJ$5:AJ$22)</f>
        <v>96</v>
      </c>
      <c r="P38" s="16" t="n">
        <f aca="false">AVERAGEIF('United Games Against'!$A$5:$A$22,D$5,'United Games Against'!AJ$5:AJ$22)</f>
        <v>128</v>
      </c>
      <c r="Q38" s="16" t="n">
        <f aca="false">AVERAGEIF('United Games Against'!$A$5:$A$22,E$5,'United Games Against'!AJ$5:AJ$22)</f>
        <v>120</v>
      </c>
      <c r="R38" s="16" t="n">
        <f aca="false">AVERAGEIF('United Games Against'!$A$5:$A$22,F$5,'United Games Against'!AJ$5:AJ$22)</f>
        <v>112.5</v>
      </c>
      <c r="S38" s="16" t="n">
        <f aca="false">AVERAGEIF('United Games Against'!$A$5:$A$22,G$5,'United Games Against'!AJ$5:AJ$22)</f>
        <v>123</v>
      </c>
      <c r="T38" s="16" t="n">
        <f aca="false">AVERAGEIF('United Games Against'!$A$5:$A$22,H$5,'United Games Against'!AJ$5:AJ$22)</f>
        <v>130.5</v>
      </c>
      <c r="U38" s="16" t="n">
        <f aca="false">AVERAGEIF('United Games Against'!$A$5:$A$22,I$5,'United Games Against'!AJ$5:AJ$22)</f>
        <v>123.5</v>
      </c>
      <c r="V38" s="16" t="n">
        <f aca="false">AVERAGEIF('United Games Against'!$A$5:$A$22,J$5,'United Games Against'!AJ$5:AJ$22)</f>
        <v>150</v>
      </c>
      <c r="W38" s="16" t="n">
        <f aca="false">AVERAGEIF('United Games Against'!$A$5:$A$22,K$5,'United Games Against'!AJ$5:AJ$22)</f>
        <v>122</v>
      </c>
      <c r="X38" s="16" t="n">
        <f aca="false">AVERAGEIF('United Games Against'!$A$5:$A$22,L$5,'United Games Against'!AJ$5:AJ$22)</f>
        <v>114</v>
      </c>
      <c r="Y38" s="16" t="n">
        <f aca="false">AVERAGEIF('United Games Against'!$A$5:$A$22,M$5,'United Games Against'!AJ$5:AJ$22)</f>
        <v>149.5</v>
      </c>
      <c r="Z38" s="16" t="n">
        <f aca="false">AVERAGEIF('United Games Against'!$A$5:$A$22,N$5,'United Games Against'!AJ$5:AJ$22)</f>
        <v>106.5</v>
      </c>
      <c r="AB38" s="16" t="n">
        <f aca="false">D38-P38</f>
        <v>-16</v>
      </c>
      <c r="AC38" s="16" t="n">
        <f aca="false">E38-Q38</f>
        <v>-19</v>
      </c>
      <c r="AD38" s="16" t="n">
        <f aca="false">F38-R38</f>
        <v>-20.5</v>
      </c>
      <c r="AE38" s="16" t="n">
        <f aca="false">G38-S38</f>
        <v>-22</v>
      </c>
      <c r="AF38" s="16" t="n">
        <f aca="false">H38-T38</f>
        <v>-38</v>
      </c>
      <c r="AG38" s="16" t="n">
        <f aca="false">I38-U38</f>
        <v>0.5</v>
      </c>
      <c r="AH38" s="16" t="n">
        <f aca="false">J38-V38</f>
        <v>-33</v>
      </c>
      <c r="AI38" s="16" t="n">
        <f aca="false">K38-W38</f>
        <v>3</v>
      </c>
      <c r="AJ38" s="16" t="n">
        <f aca="false">L38-X38</f>
        <v>-14.5</v>
      </c>
      <c r="AK38" s="16" t="n">
        <f aca="false">M38-Y38</f>
        <v>-35.5</v>
      </c>
      <c r="AL38" s="16" t="n">
        <f aca="false">N38-Z38</f>
        <v>-10.5</v>
      </c>
    </row>
    <row r="39" customFormat="false" ht="15" hidden="false" customHeight="false" outlineLevel="0" collapsed="false">
      <c r="A39" s="6" t="s">
        <v>129</v>
      </c>
      <c r="B39" s="7" t="s">
        <v>130</v>
      </c>
      <c r="C39" s="38" t="s">
        <v>179</v>
      </c>
      <c r="D39" s="16" t="n">
        <f aca="false">AVERAGEIF('United Games For'!$A$5:$A$22,D$5,'United Games For'!AK$5:AK$22)</f>
        <v>42</v>
      </c>
      <c r="E39" s="16" t="n">
        <f aca="false">AVERAGEIF('United Games For'!$A$5:$A$22,E$5,'United Games For'!AK$5:AK$22)</f>
        <v>29.5</v>
      </c>
      <c r="F39" s="16" t="n">
        <f aca="false">AVERAGEIF('United Games For'!$A$5:$A$22,F$5,'United Games For'!AK$5:AK$22)</f>
        <v>30.5</v>
      </c>
      <c r="G39" s="16" t="n">
        <f aca="false">AVERAGEIF('United Games For'!$A$5:$A$22,G$5,'United Games For'!AK$5:AK$22)</f>
        <v>40</v>
      </c>
      <c r="H39" s="16" t="n">
        <f aca="false">AVERAGEIF('United Games For'!$A$5:$A$22,H$5,'United Games For'!AK$5:AK$22)</f>
        <v>32</v>
      </c>
      <c r="I39" s="16" t="n">
        <f aca="false">AVERAGEIF('United Games For'!$A$5:$A$22,I$5,'United Games For'!AK$5:AK$22)</f>
        <v>37</v>
      </c>
      <c r="J39" s="16" t="n">
        <f aca="false">AVERAGEIF('United Games For'!$A$5:$A$22,J$5,'United Games For'!AK$5:AK$22)</f>
        <v>45</v>
      </c>
      <c r="K39" s="16" t="n">
        <f aca="false">AVERAGEIF('United Games For'!$A$5:$A$22,K$5,'United Games For'!AK$5:AK$22)</f>
        <v>38</v>
      </c>
      <c r="L39" s="16" t="n">
        <f aca="false">AVERAGEIF('United Games For'!$A$5:$A$22,L$5,'United Games For'!AK$5:AK$22)</f>
        <v>28</v>
      </c>
      <c r="M39" s="16" t="n">
        <f aca="false">AVERAGEIF('United Games For'!$A$5:$A$22,M$5,'United Games For'!AK$5:AK$22)</f>
        <v>43.5</v>
      </c>
      <c r="N39" s="16" t="n">
        <f aca="false">AVERAGEIF('United Games For'!$A$5:$A$22,N$5,'United Games For'!AK$5:AK$22)</f>
        <v>24</v>
      </c>
      <c r="P39" s="16" t="n">
        <f aca="false">AVERAGEIF('United Games Against'!$A$5:$A$22,D$5,'United Games Against'!AK$5:AK$22)</f>
        <v>43</v>
      </c>
      <c r="Q39" s="16" t="n">
        <f aca="false">AVERAGEIF('United Games Against'!$A$5:$A$22,E$5,'United Games Against'!AK$5:AK$22)</f>
        <v>35.5</v>
      </c>
      <c r="R39" s="16" t="n">
        <f aca="false">AVERAGEIF('United Games Against'!$A$5:$A$22,F$5,'United Games Against'!AK$5:AK$22)</f>
        <v>37</v>
      </c>
      <c r="S39" s="16" t="n">
        <f aca="false">AVERAGEIF('United Games Against'!$A$5:$A$22,G$5,'United Games Against'!AK$5:AK$22)</f>
        <v>39</v>
      </c>
      <c r="T39" s="16" t="n">
        <f aca="false">AVERAGEIF('United Games Against'!$A$5:$A$22,H$5,'United Games Against'!AK$5:AK$22)</f>
        <v>50.5</v>
      </c>
      <c r="U39" s="16" t="n">
        <f aca="false">AVERAGEIF('United Games Against'!$A$5:$A$22,I$5,'United Games Against'!AK$5:AK$22)</f>
        <v>33.5</v>
      </c>
      <c r="V39" s="16" t="n">
        <f aca="false">AVERAGEIF('United Games Against'!$A$5:$A$22,J$5,'United Games Against'!AK$5:AK$22)</f>
        <v>46</v>
      </c>
      <c r="W39" s="16" t="n">
        <f aca="false">AVERAGEIF('United Games Against'!$A$5:$A$22,K$5,'United Games Against'!AK$5:AK$22)</f>
        <v>45</v>
      </c>
      <c r="X39" s="16" t="n">
        <f aca="false">AVERAGEIF('United Games Against'!$A$5:$A$22,L$5,'United Games Against'!AK$5:AK$22)</f>
        <v>32</v>
      </c>
      <c r="Y39" s="16" t="n">
        <f aca="false">AVERAGEIF('United Games Against'!$A$5:$A$22,M$5,'United Games Against'!AK$5:AK$22)</f>
        <v>56</v>
      </c>
      <c r="Z39" s="16" t="n">
        <f aca="false">AVERAGEIF('United Games Against'!$A$5:$A$22,N$5,'United Games Against'!AK$5:AK$22)</f>
        <v>32.5</v>
      </c>
      <c r="AB39" s="16" t="n">
        <f aca="false">D39-P39</f>
        <v>-1</v>
      </c>
      <c r="AC39" s="16" t="n">
        <f aca="false">E39-Q39</f>
        <v>-6</v>
      </c>
      <c r="AD39" s="16" t="n">
        <f aca="false">F39-R39</f>
        <v>-6.5</v>
      </c>
      <c r="AE39" s="16" t="n">
        <f aca="false">G39-S39</f>
        <v>1</v>
      </c>
      <c r="AF39" s="16" t="n">
        <f aca="false">H39-T39</f>
        <v>-18.5</v>
      </c>
      <c r="AG39" s="16" t="n">
        <f aca="false">I39-U39</f>
        <v>3.5</v>
      </c>
      <c r="AH39" s="16" t="n">
        <f aca="false">J39-V39</f>
        <v>-1</v>
      </c>
      <c r="AI39" s="16" t="n">
        <f aca="false">K39-W39</f>
        <v>-7</v>
      </c>
      <c r="AJ39" s="16" t="n">
        <f aca="false">L39-X39</f>
        <v>-4</v>
      </c>
      <c r="AK39" s="16" t="n">
        <f aca="false">M39-Y39</f>
        <v>-12.5</v>
      </c>
      <c r="AL39" s="16" t="n">
        <f aca="false">N39-Z39</f>
        <v>-8.5</v>
      </c>
    </row>
    <row r="40" customFormat="false" ht="15" hidden="false" customHeight="false" outlineLevel="0" collapsed="false">
      <c r="A40" s="6" t="s">
        <v>51</v>
      </c>
      <c r="B40" s="7" t="s">
        <v>52</v>
      </c>
      <c r="C40" s="38" t="s">
        <v>179</v>
      </c>
      <c r="D40" s="16" t="n">
        <f aca="false">AVERAGEIF('United Games For'!$A$5:$A$22,D$5,'United Games For'!AL$5:AL$22)</f>
        <v>5</v>
      </c>
      <c r="E40" s="16" t="n">
        <f aca="false">AVERAGEIF('United Games For'!$A$5:$A$22,E$5,'United Games For'!AL$5:AL$22)</f>
        <v>9.5</v>
      </c>
      <c r="F40" s="16" t="n">
        <f aca="false">AVERAGEIF('United Games For'!$A$5:$A$22,F$5,'United Games For'!AL$5:AL$22)</f>
        <v>14.5</v>
      </c>
      <c r="G40" s="16" t="n">
        <f aca="false">AVERAGEIF('United Games For'!$A$5:$A$22,G$5,'United Games For'!AL$5:AL$22)</f>
        <v>18</v>
      </c>
      <c r="H40" s="16" t="n">
        <f aca="false">AVERAGEIF('United Games For'!$A$5:$A$22,H$5,'United Games For'!AL$5:AL$22)</f>
        <v>9</v>
      </c>
      <c r="I40" s="16" t="n">
        <f aca="false">AVERAGEIF('United Games For'!$A$5:$A$22,I$5,'United Games For'!AL$5:AL$22)</f>
        <v>13.5</v>
      </c>
      <c r="J40" s="16" t="n">
        <f aca="false">AVERAGEIF('United Games For'!$A$5:$A$22,J$5,'United Games For'!AL$5:AL$22)</f>
        <v>17</v>
      </c>
      <c r="K40" s="16" t="n">
        <f aca="false">AVERAGEIF('United Games For'!$A$5:$A$22,K$5,'United Games For'!AL$5:AL$22)</f>
        <v>21</v>
      </c>
      <c r="L40" s="16" t="n">
        <f aca="false">AVERAGEIF('United Games For'!$A$5:$A$22,L$5,'United Games For'!AL$5:AL$22)</f>
        <v>13.5</v>
      </c>
      <c r="M40" s="16" t="n">
        <f aca="false">AVERAGEIF('United Games For'!$A$5:$A$22,M$5,'United Games For'!AL$5:AL$22)</f>
        <v>12.5</v>
      </c>
      <c r="N40" s="16" t="n">
        <f aca="false">AVERAGEIF('United Games For'!$A$5:$A$22,N$5,'United Games For'!AL$5:AL$22)</f>
        <v>11</v>
      </c>
      <c r="P40" s="16" t="n">
        <f aca="false">AVERAGEIF('United Games Against'!$A$5:$A$22,D$5,'United Games Against'!AL$5:AL$22)</f>
        <v>24</v>
      </c>
      <c r="Q40" s="16" t="n">
        <f aca="false">AVERAGEIF('United Games Against'!$A$5:$A$22,E$5,'United Games Against'!AL$5:AL$22)</f>
        <v>7.5</v>
      </c>
      <c r="R40" s="16" t="n">
        <f aca="false">AVERAGEIF('United Games Against'!$A$5:$A$22,F$5,'United Games Against'!AL$5:AL$22)</f>
        <v>14</v>
      </c>
      <c r="S40" s="16" t="n">
        <f aca="false">AVERAGEIF('United Games Against'!$A$5:$A$22,G$5,'United Games Against'!AL$5:AL$22)</f>
        <v>11</v>
      </c>
      <c r="T40" s="16" t="n">
        <f aca="false">AVERAGEIF('United Games Against'!$A$5:$A$22,H$5,'United Games Against'!AL$5:AL$22)</f>
        <v>9.5</v>
      </c>
      <c r="U40" s="16" t="n">
        <f aca="false">AVERAGEIF('United Games Against'!$A$5:$A$22,I$5,'United Games Against'!AL$5:AL$22)</f>
        <v>13</v>
      </c>
      <c r="V40" s="16" t="n">
        <f aca="false">AVERAGEIF('United Games Against'!$A$5:$A$22,J$5,'United Games Against'!AL$5:AL$22)</f>
        <v>15</v>
      </c>
      <c r="W40" s="16" t="n">
        <f aca="false">AVERAGEIF('United Games Against'!$A$5:$A$22,K$5,'United Games Against'!AL$5:AL$22)</f>
        <v>13</v>
      </c>
      <c r="X40" s="16" t="n">
        <f aca="false">AVERAGEIF('United Games Against'!$A$5:$A$22,L$5,'United Games Against'!AL$5:AL$22)</f>
        <v>12.5</v>
      </c>
      <c r="Y40" s="16" t="n">
        <f aca="false">AVERAGEIF('United Games Against'!$A$5:$A$22,M$5,'United Games Against'!AL$5:AL$22)</f>
        <v>14.5</v>
      </c>
      <c r="Z40" s="16" t="n">
        <f aca="false">AVERAGEIF('United Games Against'!$A$5:$A$22,N$5,'United Games Against'!AL$5:AL$22)</f>
        <v>18.5</v>
      </c>
      <c r="AB40" s="16" t="n">
        <f aca="false">D40-P40</f>
        <v>-19</v>
      </c>
      <c r="AC40" s="16" t="n">
        <f aca="false">E40-Q40</f>
        <v>2</v>
      </c>
      <c r="AD40" s="16" t="n">
        <f aca="false">F40-R40</f>
        <v>0.5</v>
      </c>
      <c r="AE40" s="16" t="n">
        <f aca="false">G40-S40</f>
        <v>7</v>
      </c>
      <c r="AF40" s="16" t="n">
        <f aca="false">H40-T40</f>
        <v>-0.5</v>
      </c>
      <c r="AG40" s="16" t="n">
        <f aca="false">I40-U40</f>
        <v>0.5</v>
      </c>
      <c r="AH40" s="16" t="n">
        <f aca="false">J40-V40</f>
        <v>2</v>
      </c>
      <c r="AI40" s="16" t="n">
        <f aca="false">K40-W40</f>
        <v>8</v>
      </c>
      <c r="AJ40" s="16" t="n">
        <f aca="false">L40-X40</f>
        <v>1</v>
      </c>
      <c r="AK40" s="16" t="n">
        <f aca="false">M40-Y40</f>
        <v>-2</v>
      </c>
      <c r="AL40" s="16" t="n">
        <f aca="false">N40-Z40</f>
        <v>-7.5</v>
      </c>
    </row>
    <row r="41" customFormat="false" ht="15" hidden="false" customHeight="false" outlineLevel="0" collapsed="false">
      <c r="A41" s="6" t="s">
        <v>147</v>
      </c>
      <c r="B41" s="7" t="s">
        <v>148</v>
      </c>
      <c r="C41" s="38" t="s">
        <v>179</v>
      </c>
      <c r="D41" s="16" t="n">
        <f aca="false">AVERAGEIF('United Games For'!$A$5:$A$22,D$5,'United Games For'!AM$5:AM$22)</f>
        <v>3</v>
      </c>
      <c r="E41" s="16" t="n">
        <f aca="false">AVERAGEIF('United Games For'!$A$5:$A$22,E$5,'United Games For'!AM$5:AM$22)</f>
        <v>3</v>
      </c>
      <c r="F41" s="16" t="n">
        <f aca="false">AVERAGEIF('United Games For'!$A$5:$A$22,F$5,'United Games For'!AM$5:AM$22)</f>
        <v>2</v>
      </c>
      <c r="G41" s="16" t="n">
        <f aca="false">AVERAGEIF('United Games For'!$A$5:$A$22,G$5,'United Games For'!AM$5:AM$22)</f>
        <v>3</v>
      </c>
      <c r="H41" s="16" t="n">
        <f aca="false">AVERAGEIF('United Games For'!$A$5:$A$22,H$5,'United Games For'!AM$5:AM$22)</f>
        <v>4</v>
      </c>
      <c r="I41" s="16" t="n">
        <f aca="false">AVERAGEIF('United Games For'!$A$5:$A$22,I$5,'United Games For'!AM$5:AM$22)</f>
        <v>7</v>
      </c>
      <c r="J41" s="16" t="n">
        <f aca="false">AVERAGEIF('United Games For'!$A$5:$A$22,J$5,'United Games For'!AM$5:AM$22)</f>
        <v>2</v>
      </c>
      <c r="K41" s="16" t="n">
        <f aca="false">AVERAGEIF('United Games For'!$A$5:$A$22,K$5,'United Games For'!AM$5:AM$22)</f>
        <v>2</v>
      </c>
      <c r="L41" s="16" t="n">
        <f aca="false">AVERAGEIF('United Games For'!$A$5:$A$22,L$5,'United Games For'!AM$5:AM$22)</f>
        <v>3</v>
      </c>
      <c r="M41" s="16" t="n">
        <f aca="false">AVERAGEIF('United Games For'!$A$5:$A$22,M$5,'United Games For'!AM$5:AM$22)</f>
        <v>2.5</v>
      </c>
      <c r="N41" s="16" t="n">
        <f aca="false">AVERAGEIF('United Games For'!$A$5:$A$22,N$5,'United Games For'!AM$5:AM$22)</f>
        <v>2.5</v>
      </c>
      <c r="P41" s="16" t="n">
        <f aca="false">AVERAGEIF('United Games Against'!$A$5:$A$22,D$5,'United Games Against'!AM$5:AM$22)</f>
        <v>4</v>
      </c>
      <c r="Q41" s="16" t="n">
        <f aca="false">AVERAGEIF('United Games Against'!$A$5:$A$22,E$5,'United Games Against'!AM$5:AM$22)</f>
        <v>6.5</v>
      </c>
      <c r="R41" s="16" t="n">
        <f aca="false">AVERAGEIF('United Games Against'!$A$5:$A$22,F$5,'United Games Against'!AM$5:AM$22)</f>
        <v>5</v>
      </c>
      <c r="S41" s="16" t="n">
        <f aca="false">AVERAGEIF('United Games Against'!$A$5:$A$22,G$5,'United Games Against'!AM$5:AM$22)</f>
        <v>7</v>
      </c>
      <c r="T41" s="16" t="n">
        <f aca="false">AVERAGEIF('United Games Against'!$A$5:$A$22,H$5,'United Games Against'!AM$5:AM$22)</f>
        <v>4.5</v>
      </c>
      <c r="U41" s="16" t="n">
        <f aca="false">AVERAGEIF('United Games Against'!$A$5:$A$22,I$5,'United Games Against'!AM$5:AM$22)</f>
        <v>7</v>
      </c>
      <c r="V41" s="16" t="n">
        <f aca="false">AVERAGEIF('United Games Against'!$A$5:$A$22,J$5,'United Games Against'!AM$5:AM$22)</f>
        <v>8</v>
      </c>
      <c r="W41" s="16" t="n">
        <f aca="false">AVERAGEIF('United Games Against'!$A$5:$A$22,K$5,'United Games Against'!AM$5:AM$22)</f>
        <v>1</v>
      </c>
      <c r="X41" s="16" t="n">
        <f aca="false">AVERAGEIF('United Games Against'!$A$5:$A$22,L$5,'United Games Against'!AM$5:AM$22)</f>
        <v>2</v>
      </c>
      <c r="Y41" s="16" t="n">
        <f aca="false">AVERAGEIF('United Games Against'!$A$5:$A$22,M$5,'United Games Against'!AM$5:AM$22)</f>
        <v>3.5</v>
      </c>
      <c r="Z41" s="16" t="n">
        <f aca="false">AVERAGEIF('United Games Against'!$A$5:$A$22,N$5,'United Games Against'!AM$5:AM$22)</f>
        <v>4</v>
      </c>
      <c r="AB41" s="16" t="n">
        <f aca="false">D41-P41</f>
        <v>-1</v>
      </c>
      <c r="AC41" s="16" t="n">
        <f aca="false">E41-Q41</f>
        <v>-3.5</v>
      </c>
      <c r="AD41" s="16" t="n">
        <f aca="false">F41-R41</f>
        <v>-3</v>
      </c>
      <c r="AE41" s="16" t="n">
        <f aca="false">G41-S41</f>
        <v>-4</v>
      </c>
      <c r="AF41" s="16" t="n">
        <f aca="false">H41-T41</f>
        <v>-0.5</v>
      </c>
      <c r="AG41" s="16" t="n">
        <f aca="false">I41-U41</f>
        <v>0</v>
      </c>
      <c r="AH41" s="16" t="n">
        <f aca="false">J41-V41</f>
        <v>-6</v>
      </c>
      <c r="AI41" s="16" t="n">
        <f aca="false">K41-W41</f>
        <v>1</v>
      </c>
      <c r="AJ41" s="16" t="n">
        <f aca="false">L41-X41</f>
        <v>1</v>
      </c>
      <c r="AK41" s="16" t="n">
        <f aca="false">M41-Y41</f>
        <v>-1</v>
      </c>
      <c r="AL41" s="16" t="n">
        <f aca="false">N41-Z41</f>
        <v>-1.5</v>
      </c>
    </row>
    <row r="42" customFormat="false" ht="15" hidden="false" customHeight="false" outlineLevel="0" collapsed="false">
      <c r="A42" s="6" t="s">
        <v>149</v>
      </c>
      <c r="B42" s="7" t="s">
        <v>150</v>
      </c>
      <c r="C42" s="38" t="s">
        <v>179</v>
      </c>
      <c r="D42" s="16" t="n">
        <f aca="false">AVERAGEIF('United Games For'!$A$5:$A$22,D$5,'United Games For'!AN$5:AN$22)</f>
        <v>21</v>
      </c>
      <c r="E42" s="16" t="n">
        <f aca="false">AVERAGEIF('United Games For'!$A$5:$A$22,E$5,'United Games For'!AN$5:AN$22)</f>
        <v>19.5</v>
      </c>
      <c r="F42" s="16" t="n">
        <f aca="false">AVERAGEIF('United Games For'!$A$5:$A$22,F$5,'United Games For'!AN$5:AN$22)</f>
        <v>5</v>
      </c>
      <c r="G42" s="16" t="n">
        <f aca="false">AVERAGEIF('United Games For'!$A$5:$A$22,G$5,'United Games For'!AN$5:AN$22)</f>
        <v>30</v>
      </c>
      <c r="H42" s="16" t="n">
        <f aca="false">AVERAGEIF('United Games For'!$A$5:$A$22,H$5,'United Games For'!AN$5:AN$22)</f>
        <v>12.5</v>
      </c>
      <c r="I42" s="16" t="n">
        <f aca="false">AVERAGEIF('United Games For'!$A$5:$A$22,I$5,'United Games For'!AN$5:AN$22)</f>
        <v>12</v>
      </c>
      <c r="J42" s="16" t="n">
        <f aca="false">AVERAGEIF('United Games For'!$A$5:$A$22,J$5,'United Games For'!AN$5:AN$22)</f>
        <v>10</v>
      </c>
      <c r="K42" s="16" t="n">
        <f aca="false">AVERAGEIF('United Games For'!$A$5:$A$22,K$5,'United Games For'!AN$5:AN$22)</f>
        <v>22</v>
      </c>
      <c r="L42" s="16" t="n">
        <f aca="false">AVERAGEIF('United Games For'!$A$5:$A$22,L$5,'United Games For'!AN$5:AN$22)</f>
        <v>11.5</v>
      </c>
      <c r="M42" s="16" t="n">
        <f aca="false">AVERAGEIF('United Games For'!$A$5:$A$22,M$5,'United Games For'!AN$5:AN$22)</f>
        <v>12.5</v>
      </c>
      <c r="N42" s="16" t="n">
        <f aca="false">AVERAGEIF('United Games For'!$A$5:$A$22,N$5,'United Games For'!AN$5:AN$22)</f>
        <v>9</v>
      </c>
      <c r="P42" s="16" t="n">
        <f aca="false">AVERAGEIF('United Games Against'!$A$5:$A$22,D$5,'United Games Against'!AN$5:AN$22)</f>
        <v>26</v>
      </c>
      <c r="Q42" s="16" t="n">
        <f aca="false">AVERAGEIF('United Games Against'!$A$5:$A$22,E$5,'United Games Against'!AN$5:AN$22)</f>
        <v>20</v>
      </c>
      <c r="R42" s="16" t="n">
        <f aca="false">AVERAGEIF('United Games Against'!$A$5:$A$22,F$5,'United Games Against'!AN$5:AN$22)</f>
        <v>15</v>
      </c>
      <c r="S42" s="16" t="n">
        <f aca="false">AVERAGEIF('United Games Against'!$A$5:$A$22,G$5,'United Games Against'!AN$5:AN$22)</f>
        <v>20</v>
      </c>
      <c r="T42" s="16" t="n">
        <f aca="false">AVERAGEIF('United Games Against'!$A$5:$A$22,H$5,'United Games Against'!AN$5:AN$22)</f>
        <v>13</v>
      </c>
      <c r="U42" s="16" t="n">
        <f aca="false">AVERAGEIF('United Games Against'!$A$5:$A$22,I$5,'United Games Against'!AN$5:AN$22)</f>
        <v>16</v>
      </c>
      <c r="V42" s="16" t="n">
        <f aca="false">AVERAGEIF('United Games Against'!$A$5:$A$22,J$5,'United Games Against'!AN$5:AN$22)</f>
        <v>19</v>
      </c>
      <c r="W42" s="16" t="n">
        <f aca="false">AVERAGEIF('United Games Against'!$A$5:$A$22,K$5,'United Games Against'!AN$5:AN$22)</f>
        <v>26</v>
      </c>
      <c r="X42" s="16" t="n">
        <f aca="false">AVERAGEIF('United Games Against'!$A$5:$A$22,L$5,'United Games Against'!AN$5:AN$22)</f>
        <v>12</v>
      </c>
      <c r="Y42" s="16" t="n">
        <f aca="false">AVERAGEIF('United Games Against'!$A$5:$A$22,M$5,'United Games Against'!AN$5:AN$22)</f>
        <v>15.5</v>
      </c>
      <c r="Z42" s="16" t="n">
        <f aca="false">AVERAGEIF('United Games Against'!$A$5:$A$22,N$5,'United Games Against'!AN$5:AN$22)</f>
        <v>15</v>
      </c>
      <c r="AB42" s="16" t="n">
        <f aca="false">D42-P42</f>
        <v>-5</v>
      </c>
      <c r="AC42" s="16" t="n">
        <f aca="false">E42-Q42</f>
        <v>-0.5</v>
      </c>
      <c r="AD42" s="16" t="n">
        <f aca="false">F42-R42</f>
        <v>-10</v>
      </c>
      <c r="AE42" s="16" t="n">
        <f aca="false">G42-S42</f>
        <v>10</v>
      </c>
      <c r="AF42" s="16" t="n">
        <f aca="false">H42-T42</f>
        <v>-0.5</v>
      </c>
      <c r="AG42" s="16" t="n">
        <f aca="false">I42-U42</f>
        <v>-4</v>
      </c>
      <c r="AH42" s="16" t="n">
        <f aca="false">J42-V42</f>
        <v>-9</v>
      </c>
      <c r="AI42" s="16" t="n">
        <f aca="false">K42-W42</f>
        <v>-4</v>
      </c>
      <c r="AJ42" s="16" t="n">
        <f aca="false">L42-X42</f>
        <v>-0.5</v>
      </c>
      <c r="AK42" s="16" t="n">
        <f aca="false">M42-Y42</f>
        <v>-3</v>
      </c>
      <c r="AL42" s="16" t="n">
        <f aca="false">N42-Z42</f>
        <v>-6</v>
      </c>
    </row>
    <row r="43" customFormat="false" ht="15" hidden="false" customHeight="false" outlineLevel="0" collapsed="false">
      <c r="A43" s="6" t="s">
        <v>131</v>
      </c>
      <c r="B43" s="7" t="s">
        <v>132</v>
      </c>
      <c r="C43" s="38" t="s">
        <v>179</v>
      </c>
      <c r="D43" s="16" t="n">
        <f aca="false">AVERAGEIF('United Games For'!$A$5:$A$22,D$5,'United Games For'!AO$5:AO$22)</f>
        <v>9</v>
      </c>
      <c r="E43" s="16" t="n">
        <f aca="false">AVERAGEIF('United Games For'!$A$5:$A$22,E$5,'United Games For'!AO$5:AO$22)</f>
        <v>2.5</v>
      </c>
      <c r="F43" s="16" t="n">
        <f aca="false">AVERAGEIF('United Games For'!$A$5:$A$22,F$5,'United Games For'!AO$5:AO$22)</f>
        <v>8</v>
      </c>
      <c r="G43" s="16" t="n">
        <f aca="false">AVERAGEIF('United Games For'!$A$5:$A$22,G$5,'United Games For'!AO$5:AO$22)</f>
        <v>2</v>
      </c>
      <c r="H43" s="16" t="n">
        <f aca="false">AVERAGEIF('United Games For'!$A$5:$A$22,H$5,'United Games For'!AO$5:AO$22)</f>
        <v>6.5</v>
      </c>
      <c r="I43" s="16" t="n">
        <f aca="false">AVERAGEIF('United Games For'!$A$5:$A$22,I$5,'United Games For'!AO$5:AO$22)</f>
        <v>5.5</v>
      </c>
      <c r="J43" s="16" t="n">
        <f aca="false">AVERAGEIF('United Games For'!$A$5:$A$22,J$5,'United Games For'!AO$5:AO$22)</f>
        <v>3</v>
      </c>
      <c r="K43" s="16" t="n">
        <f aca="false">AVERAGEIF('United Games For'!$A$5:$A$22,K$5,'United Games For'!AO$5:AO$22)</f>
        <v>6</v>
      </c>
      <c r="L43" s="16" t="n">
        <f aca="false">AVERAGEIF('United Games For'!$A$5:$A$22,L$5,'United Games For'!AO$5:AO$22)</f>
        <v>7</v>
      </c>
      <c r="M43" s="16" t="n">
        <f aca="false">AVERAGEIF('United Games For'!$A$5:$A$22,M$5,'United Games For'!AO$5:AO$22)</f>
        <v>7</v>
      </c>
      <c r="N43" s="16" t="n">
        <f aca="false">AVERAGEIF('United Games For'!$A$5:$A$22,N$5,'United Games For'!AO$5:AO$22)</f>
        <v>7.5</v>
      </c>
      <c r="P43" s="16" t="n">
        <f aca="false">AVERAGEIF('United Games Against'!$A$5:$A$22,D$5,'United Games Against'!AO$5:AO$22)</f>
        <v>6</v>
      </c>
      <c r="Q43" s="16" t="n">
        <f aca="false">AVERAGEIF('United Games Against'!$A$5:$A$22,E$5,'United Games Against'!AO$5:AO$22)</f>
        <v>4.5</v>
      </c>
      <c r="R43" s="16" t="n">
        <f aca="false">AVERAGEIF('United Games Against'!$A$5:$A$22,F$5,'United Games Against'!AO$5:AO$22)</f>
        <v>4</v>
      </c>
      <c r="S43" s="16" t="n">
        <f aca="false">AVERAGEIF('United Games Against'!$A$5:$A$22,G$5,'United Games Against'!AO$5:AO$22)</f>
        <v>6</v>
      </c>
      <c r="T43" s="16" t="n">
        <f aca="false">AVERAGEIF('United Games Against'!$A$5:$A$22,H$5,'United Games Against'!AO$5:AO$22)</f>
        <v>12</v>
      </c>
      <c r="U43" s="16" t="n">
        <f aca="false">AVERAGEIF('United Games Against'!$A$5:$A$22,I$5,'United Games Against'!AO$5:AO$22)</f>
        <v>4</v>
      </c>
      <c r="V43" s="16" t="n">
        <f aca="false">AVERAGEIF('United Games Against'!$A$5:$A$22,J$5,'United Games Against'!AO$5:AO$22)</f>
        <v>11</v>
      </c>
      <c r="W43" s="16" t="n">
        <f aca="false">AVERAGEIF('United Games Against'!$A$5:$A$22,K$5,'United Games Against'!AO$5:AO$22)</f>
        <v>9</v>
      </c>
      <c r="X43" s="16" t="n">
        <f aca="false">AVERAGEIF('United Games Against'!$A$5:$A$22,L$5,'United Games Against'!AO$5:AO$22)</f>
        <v>6.5</v>
      </c>
      <c r="Y43" s="16" t="n">
        <f aca="false">AVERAGEIF('United Games Against'!$A$5:$A$22,M$5,'United Games Against'!AO$5:AO$22)</f>
        <v>9</v>
      </c>
      <c r="Z43" s="16" t="n">
        <f aca="false">AVERAGEIF('United Games Against'!$A$5:$A$22,N$5,'United Games Against'!AO$5:AO$22)</f>
        <v>6.5</v>
      </c>
      <c r="AB43" s="16" t="n">
        <f aca="false">D43-P43</f>
        <v>3</v>
      </c>
      <c r="AC43" s="16" t="n">
        <f aca="false">E43-Q43</f>
        <v>-2</v>
      </c>
      <c r="AD43" s="16" t="n">
        <f aca="false">F43-R43</f>
        <v>4</v>
      </c>
      <c r="AE43" s="16" t="n">
        <f aca="false">G43-S43</f>
        <v>-4</v>
      </c>
      <c r="AF43" s="16" t="n">
        <f aca="false">H43-T43</f>
        <v>-5.5</v>
      </c>
      <c r="AG43" s="16" t="n">
        <f aca="false">I43-U43</f>
        <v>1.5</v>
      </c>
      <c r="AH43" s="16" t="n">
        <f aca="false">J43-V43</f>
        <v>-8</v>
      </c>
      <c r="AI43" s="16" t="n">
        <f aca="false">K43-W43</f>
        <v>-3</v>
      </c>
      <c r="AJ43" s="16" t="n">
        <f aca="false">L43-X43</f>
        <v>0.5</v>
      </c>
      <c r="AK43" s="16" t="n">
        <f aca="false">M43-Y43</f>
        <v>-2</v>
      </c>
      <c r="AL43" s="16" t="n">
        <f aca="false">N43-Z43</f>
        <v>1</v>
      </c>
    </row>
    <row r="44" customFormat="false" ht="15" hidden="false" customHeight="false" outlineLevel="0" collapsed="false">
      <c r="A44" s="6" t="s">
        <v>151</v>
      </c>
      <c r="B44" s="7" t="s">
        <v>152</v>
      </c>
      <c r="C44" s="38" t="s">
        <v>179</v>
      </c>
      <c r="D44" s="16" t="n">
        <f aca="false">AVERAGEIF('United Games For'!$A$5:$A$22,D$5,'United Games For'!AP$5:AP$22)</f>
        <v>62</v>
      </c>
      <c r="E44" s="16" t="n">
        <f aca="false">AVERAGEIF('United Games For'!$A$5:$A$22,E$5,'United Games For'!AP$5:AP$22)</f>
        <v>59</v>
      </c>
      <c r="F44" s="16" t="n">
        <f aca="false">AVERAGEIF('United Games For'!$A$5:$A$22,F$5,'United Games For'!AP$5:AP$22)</f>
        <v>45</v>
      </c>
      <c r="G44" s="16" t="n">
        <f aca="false">AVERAGEIF('United Games For'!$A$5:$A$22,G$5,'United Games For'!AP$5:AP$22)</f>
        <v>40</v>
      </c>
      <c r="H44" s="16" t="n">
        <f aca="false">AVERAGEIF('United Games For'!$A$5:$A$22,H$5,'United Games For'!AP$5:AP$22)</f>
        <v>47.5</v>
      </c>
      <c r="I44" s="16" t="n">
        <f aca="false">AVERAGEIF('United Games For'!$A$5:$A$22,I$5,'United Games For'!AP$5:AP$22)</f>
        <v>66.5</v>
      </c>
      <c r="J44" s="16" t="n">
        <f aca="false">AVERAGEIF('United Games For'!$A$5:$A$22,J$5,'United Games For'!AP$5:AP$22)</f>
        <v>53</v>
      </c>
      <c r="K44" s="16" t="n">
        <f aca="false">AVERAGEIF('United Games For'!$A$5:$A$22,K$5,'United Games For'!AP$5:AP$22)</f>
        <v>64</v>
      </c>
      <c r="L44" s="16" t="n">
        <f aca="false">AVERAGEIF('United Games For'!$A$5:$A$22,L$5,'United Games For'!AP$5:AP$22)</f>
        <v>55</v>
      </c>
      <c r="M44" s="16" t="n">
        <f aca="false">AVERAGEIF('United Games For'!$A$5:$A$22,M$5,'United Games For'!AP$5:AP$22)</f>
        <v>55.5</v>
      </c>
      <c r="N44" s="16" t="n">
        <f aca="false">AVERAGEIF('United Games For'!$A$5:$A$22,N$5,'United Games For'!AP$5:AP$22)</f>
        <v>58.5</v>
      </c>
      <c r="P44" s="16" t="n">
        <f aca="false">AVERAGEIF('United Games Against'!$A$5:$A$22,D$5,'United Games Against'!AP$5:AP$22)</f>
        <v>57</v>
      </c>
      <c r="Q44" s="16" t="n">
        <f aca="false">AVERAGEIF('United Games Against'!$A$5:$A$22,E$5,'United Games Against'!AP$5:AP$22)</f>
        <v>70.5</v>
      </c>
      <c r="R44" s="16" t="n">
        <f aca="false">AVERAGEIF('United Games Against'!$A$5:$A$22,F$5,'United Games Against'!AP$5:AP$22)</f>
        <v>56.5</v>
      </c>
      <c r="S44" s="16" t="n">
        <f aca="false">AVERAGEIF('United Games Against'!$A$5:$A$22,G$5,'United Games Against'!AP$5:AP$22)</f>
        <v>66</v>
      </c>
      <c r="T44" s="16" t="n">
        <f aca="false">AVERAGEIF('United Games Against'!$A$5:$A$22,H$5,'United Games Against'!AP$5:AP$22)</f>
        <v>66</v>
      </c>
      <c r="U44" s="16" t="n">
        <f aca="false">AVERAGEIF('United Games Against'!$A$5:$A$22,I$5,'United Games Against'!AP$5:AP$22)</f>
        <v>70</v>
      </c>
      <c r="V44" s="16" t="n">
        <f aca="false">AVERAGEIF('United Games Against'!$A$5:$A$22,J$5,'United Games Against'!AP$5:AP$22)</f>
        <v>81</v>
      </c>
      <c r="W44" s="16" t="n">
        <f aca="false">AVERAGEIF('United Games Against'!$A$5:$A$22,K$5,'United Games Against'!AP$5:AP$22)</f>
        <v>63</v>
      </c>
      <c r="X44" s="16" t="n">
        <f aca="false">AVERAGEIF('United Games Against'!$A$5:$A$22,L$5,'United Games Against'!AP$5:AP$22)</f>
        <v>67.5</v>
      </c>
      <c r="Y44" s="16" t="n">
        <f aca="false">AVERAGEIF('United Games Against'!$A$5:$A$22,M$5,'United Games Against'!AP$5:AP$22)</f>
        <v>75.5</v>
      </c>
      <c r="Z44" s="16" t="n">
        <f aca="false">AVERAGEIF('United Games Against'!$A$5:$A$22,N$5,'United Games Against'!AP$5:AP$22)</f>
        <v>51.5</v>
      </c>
      <c r="AB44" s="16" t="n">
        <f aca="false">D44-P44</f>
        <v>5</v>
      </c>
      <c r="AC44" s="16" t="n">
        <f aca="false">E44-Q44</f>
        <v>-11.5</v>
      </c>
      <c r="AD44" s="16" t="n">
        <f aca="false">F44-R44</f>
        <v>-11.5</v>
      </c>
      <c r="AE44" s="16" t="n">
        <f aca="false">G44-S44</f>
        <v>-26</v>
      </c>
      <c r="AF44" s="16" t="n">
        <f aca="false">H44-T44</f>
        <v>-18.5</v>
      </c>
      <c r="AG44" s="16" t="n">
        <f aca="false">I44-U44</f>
        <v>-3.5</v>
      </c>
      <c r="AH44" s="16" t="n">
        <f aca="false">J44-V44</f>
        <v>-28</v>
      </c>
      <c r="AI44" s="16" t="n">
        <f aca="false">K44-W44</f>
        <v>1</v>
      </c>
      <c r="AJ44" s="16" t="n">
        <f aca="false">L44-X44</f>
        <v>-12.5</v>
      </c>
      <c r="AK44" s="16" t="n">
        <f aca="false">M44-Y44</f>
        <v>-20</v>
      </c>
      <c r="AL44" s="16" t="n">
        <f aca="false">N44-Z44</f>
        <v>7</v>
      </c>
    </row>
    <row r="45" customFormat="false" ht="15" hidden="false" customHeight="false" outlineLevel="0" collapsed="false">
      <c r="A45" s="6" t="s">
        <v>153</v>
      </c>
      <c r="B45" s="7" t="s">
        <v>154</v>
      </c>
      <c r="C45" s="38" t="s">
        <v>179</v>
      </c>
      <c r="D45" s="16" t="n">
        <f aca="false">AVERAGEIF('United Games For'!$A$5:$A$22,D$5,'United Games For'!AQ$5:AQ$22)</f>
        <v>45</v>
      </c>
      <c r="E45" s="16" t="n">
        <f aca="false">AVERAGEIF('United Games For'!$A$5:$A$22,E$5,'United Games For'!AQ$5:AQ$22)</f>
        <v>41</v>
      </c>
      <c r="F45" s="16" t="n">
        <f aca="false">AVERAGEIF('United Games For'!$A$5:$A$22,F$5,'United Games For'!AQ$5:AQ$22)</f>
        <v>35</v>
      </c>
      <c r="G45" s="16" t="n">
        <f aca="false">AVERAGEIF('United Games For'!$A$5:$A$22,G$5,'United Games For'!AQ$5:AQ$22)</f>
        <v>33</v>
      </c>
      <c r="H45" s="16" t="n">
        <f aca="false">AVERAGEIF('United Games For'!$A$5:$A$22,H$5,'United Games For'!AQ$5:AQ$22)</f>
        <v>39.5</v>
      </c>
      <c r="I45" s="16" t="n">
        <f aca="false">AVERAGEIF('United Games For'!$A$5:$A$22,I$5,'United Games For'!AQ$5:AQ$22)</f>
        <v>52.5</v>
      </c>
      <c r="J45" s="16" t="n">
        <f aca="false">AVERAGEIF('United Games For'!$A$5:$A$22,J$5,'United Games For'!AQ$5:AQ$22)</f>
        <v>43</v>
      </c>
      <c r="K45" s="16" t="n">
        <f aca="false">AVERAGEIF('United Games For'!$A$5:$A$22,K$5,'United Games For'!AQ$5:AQ$22)</f>
        <v>49</v>
      </c>
      <c r="L45" s="16" t="n">
        <f aca="false">AVERAGEIF('United Games For'!$A$5:$A$22,L$5,'United Games For'!AQ$5:AQ$22)</f>
        <v>44</v>
      </c>
      <c r="M45" s="16" t="n">
        <f aca="false">AVERAGEIF('United Games For'!$A$5:$A$22,M$5,'United Games For'!AQ$5:AQ$22)</f>
        <v>48</v>
      </c>
      <c r="N45" s="16" t="n">
        <f aca="false">AVERAGEIF('United Games For'!$A$5:$A$22,N$5,'United Games For'!AQ$5:AQ$22)</f>
        <v>45</v>
      </c>
      <c r="P45" s="16" t="n">
        <f aca="false">AVERAGEIF('United Games Against'!$A$5:$A$22,D$5,'United Games Against'!AQ$5:AQ$22)</f>
        <v>36</v>
      </c>
      <c r="Q45" s="16" t="n">
        <f aca="false">AVERAGEIF('United Games Against'!$A$5:$A$22,E$5,'United Games Against'!AQ$5:AQ$22)</f>
        <v>52.5</v>
      </c>
      <c r="R45" s="16" t="n">
        <f aca="false">AVERAGEIF('United Games Against'!$A$5:$A$22,F$5,'United Games Against'!AQ$5:AQ$22)</f>
        <v>42.5</v>
      </c>
      <c r="S45" s="16" t="n">
        <f aca="false">AVERAGEIF('United Games Against'!$A$5:$A$22,G$5,'United Games Against'!AQ$5:AQ$22)</f>
        <v>47</v>
      </c>
      <c r="T45" s="16" t="n">
        <f aca="false">AVERAGEIF('United Games Against'!$A$5:$A$22,H$5,'United Games Against'!AQ$5:AQ$22)</f>
        <v>51.5</v>
      </c>
      <c r="U45" s="16" t="n">
        <f aca="false">AVERAGEIF('United Games Against'!$A$5:$A$22,I$5,'United Games Against'!AQ$5:AQ$22)</f>
        <v>50.5</v>
      </c>
      <c r="V45" s="16" t="n">
        <f aca="false">AVERAGEIF('United Games Against'!$A$5:$A$22,J$5,'United Games Against'!AQ$5:AQ$22)</f>
        <v>64</v>
      </c>
      <c r="W45" s="16" t="n">
        <f aca="false">AVERAGEIF('United Games Against'!$A$5:$A$22,K$5,'United Games Against'!AQ$5:AQ$22)</f>
        <v>47</v>
      </c>
      <c r="X45" s="16" t="n">
        <f aca="false">AVERAGEIF('United Games Against'!$A$5:$A$22,L$5,'United Games Against'!AQ$5:AQ$22)</f>
        <v>57.5</v>
      </c>
      <c r="Y45" s="16" t="n">
        <f aca="false">AVERAGEIF('United Games Against'!$A$5:$A$22,M$5,'United Games Against'!AQ$5:AQ$22)</f>
        <v>58</v>
      </c>
      <c r="Z45" s="16" t="n">
        <f aca="false">AVERAGEIF('United Games Against'!$A$5:$A$22,N$5,'United Games Against'!AQ$5:AQ$22)</f>
        <v>37</v>
      </c>
      <c r="AB45" s="16" t="n">
        <f aca="false">D45-P45</f>
        <v>9</v>
      </c>
      <c r="AC45" s="16" t="n">
        <f aca="false">E45-Q45</f>
        <v>-11.5</v>
      </c>
      <c r="AD45" s="16" t="n">
        <f aca="false">F45-R45</f>
        <v>-7.5</v>
      </c>
      <c r="AE45" s="16" t="n">
        <f aca="false">G45-S45</f>
        <v>-14</v>
      </c>
      <c r="AF45" s="16" t="n">
        <f aca="false">H45-T45</f>
        <v>-12</v>
      </c>
      <c r="AG45" s="16" t="n">
        <f aca="false">I45-U45</f>
        <v>2</v>
      </c>
      <c r="AH45" s="16" t="n">
        <f aca="false">J45-V45</f>
        <v>-21</v>
      </c>
      <c r="AI45" s="16" t="n">
        <f aca="false">K45-W45</f>
        <v>2</v>
      </c>
      <c r="AJ45" s="16" t="n">
        <f aca="false">L45-X45</f>
        <v>-13.5</v>
      </c>
      <c r="AK45" s="16" t="n">
        <f aca="false">M45-Y45</f>
        <v>-10</v>
      </c>
      <c r="AL45" s="16" t="n">
        <f aca="false">N45-Z45</f>
        <v>8</v>
      </c>
    </row>
    <row r="46" customFormat="false" ht="15" hidden="false" customHeight="false" outlineLevel="0" collapsed="false">
      <c r="A46" s="6" t="s">
        <v>69</v>
      </c>
      <c r="B46" s="7" t="s">
        <v>70</v>
      </c>
      <c r="C46" s="38" t="s">
        <v>179</v>
      </c>
      <c r="D46" s="16" t="n">
        <f aca="false">AVERAGEIF('United Games For'!$A$5:$A$22,D$5,'United Games For'!AR$5:AR$22)</f>
        <v>15</v>
      </c>
      <c r="E46" s="16" t="n">
        <f aca="false">AVERAGEIF('United Games For'!$A$5:$A$22,E$5,'United Games For'!AR$5:AR$22)</f>
        <v>4</v>
      </c>
      <c r="F46" s="16" t="n">
        <f aca="false">AVERAGEIF('United Games For'!$A$5:$A$22,F$5,'United Games For'!AR$5:AR$22)</f>
        <v>9</v>
      </c>
      <c r="G46" s="16" t="n">
        <f aca="false">AVERAGEIF('United Games For'!$A$5:$A$22,G$5,'United Games For'!AR$5:AR$22)</f>
        <v>4</v>
      </c>
      <c r="H46" s="16" t="n">
        <f aca="false">AVERAGEIF('United Games For'!$A$5:$A$22,H$5,'United Games For'!AR$5:AR$22)</f>
        <v>7</v>
      </c>
      <c r="I46" s="16" t="n">
        <f aca="false">AVERAGEIF('United Games For'!$A$5:$A$22,I$5,'United Games For'!AR$5:AR$22)</f>
        <v>12</v>
      </c>
      <c r="J46" s="16" t="n">
        <f aca="false">AVERAGEIF('United Games For'!$A$5:$A$22,J$5,'United Games For'!AR$5:AR$22)</f>
        <v>11</v>
      </c>
      <c r="K46" s="16" t="n">
        <f aca="false">AVERAGEIF('United Games For'!$A$5:$A$22,K$5,'United Games For'!AR$5:AR$22)</f>
        <v>17</v>
      </c>
      <c r="L46" s="16" t="n">
        <f aca="false">AVERAGEIF('United Games For'!$A$5:$A$22,L$5,'United Games For'!AR$5:AR$22)</f>
        <v>6.5</v>
      </c>
      <c r="M46" s="16" t="n">
        <f aca="false">AVERAGEIF('United Games For'!$A$5:$A$22,M$5,'United Games For'!AR$5:AR$22)</f>
        <v>15.5</v>
      </c>
      <c r="N46" s="16" t="n">
        <f aca="false">AVERAGEIF('United Games For'!$A$5:$A$22,N$5,'United Games For'!AR$5:AR$22)</f>
        <v>14.5</v>
      </c>
      <c r="P46" s="16" t="n">
        <f aca="false">AVERAGEIF('United Games Against'!$A$5:$A$22,D$5,'United Games Against'!AR$5:AR$22)</f>
        <v>4</v>
      </c>
      <c r="Q46" s="16" t="n">
        <f aca="false">AVERAGEIF('United Games Against'!$A$5:$A$22,E$5,'United Games Against'!AR$5:AR$22)</f>
        <v>12</v>
      </c>
      <c r="R46" s="16" t="n">
        <f aca="false">AVERAGEIF('United Games Against'!$A$5:$A$22,F$5,'United Games Against'!AR$5:AR$22)</f>
        <v>8.5</v>
      </c>
      <c r="S46" s="16" t="n">
        <f aca="false">AVERAGEIF('United Games Against'!$A$5:$A$22,G$5,'United Games Against'!AR$5:AR$22)</f>
        <v>16</v>
      </c>
      <c r="T46" s="16" t="n">
        <f aca="false">AVERAGEIF('United Games Against'!$A$5:$A$22,H$5,'United Games Against'!AR$5:AR$22)</f>
        <v>13.5</v>
      </c>
      <c r="U46" s="16" t="n">
        <f aca="false">AVERAGEIF('United Games Against'!$A$5:$A$22,I$5,'United Games Against'!AR$5:AR$22)</f>
        <v>11.5</v>
      </c>
      <c r="V46" s="16" t="n">
        <f aca="false">AVERAGEIF('United Games Against'!$A$5:$A$22,J$5,'United Games Against'!AR$5:AR$22)</f>
        <v>13</v>
      </c>
      <c r="W46" s="16" t="n">
        <f aca="false">AVERAGEIF('United Games Against'!$A$5:$A$22,K$5,'United Games Against'!AR$5:AR$22)</f>
        <v>10</v>
      </c>
      <c r="X46" s="16" t="n">
        <f aca="false">AVERAGEIF('United Games Against'!$A$5:$A$22,L$5,'United Games Against'!AR$5:AR$22)</f>
        <v>12.5</v>
      </c>
      <c r="Y46" s="16" t="n">
        <f aca="false">AVERAGEIF('United Games Against'!$A$5:$A$22,M$5,'United Games Against'!AR$5:AR$22)</f>
        <v>9.5</v>
      </c>
      <c r="Z46" s="16" t="n">
        <f aca="false">AVERAGEIF('United Games Against'!$A$5:$A$22,N$5,'United Games Against'!AR$5:AR$22)</f>
        <v>5.5</v>
      </c>
      <c r="AB46" s="16" t="n">
        <f aca="false">D46-P46</f>
        <v>11</v>
      </c>
      <c r="AC46" s="16" t="n">
        <f aca="false">E46-Q46</f>
        <v>-8</v>
      </c>
      <c r="AD46" s="16" t="n">
        <f aca="false">F46-R46</f>
        <v>0.5</v>
      </c>
      <c r="AE46" s="16" t="n">
        <f aca="false">G46-S46</f>
        <v>-12</v>
      </c>
      <c r="AF46" s="16" t="n">
        <f aca="false">H46-T46</f>
        <v>-6.5</v>
      </c>
      <c r="AG46" s="16" t="n">
        <f aca="false">I46-U46</f>
        <v>0.5</v>
      </c>
      <c r="AH46" s="16" t="n">
        <f aca="false">J46-V46</f>
        <v>-2</v>
      </c>
      <c r="AI46" s="16" t="n">
        <f aca="false">K46-W46</f>
        <v>7</v>
      </c>
      <c r="AJ46" s="16" t="n">
        <f aca="false">L46-X46</f>
        <v>-6</v>
      </c>
      <c r="AK46" s="16" t="n">
        <f aca="false">M46-Y46</f>
        <v>6</v>
      </c>
      <c r="AL46" s="16" t="n">
        <f aca="false">N46-Z46</f>
        <v>9</v>
      </c>
    </row>
    <row r="47" customFormat="false" ht="15" hidden="false" customHeight="false" outlineLevel="0" collapsed="false">
      <c r="A47" s="6" t="s">
        <v>123</v>
      </c>
      <c r="B47" s="7" t="s">
        <v>124</v>
      </c>
      <c r="C47" s="38" t="s">
        <v>179</v>
      </c>
      <c r="D47" s="16" t="n">
        <f aca="false">AVERAGEIF('United Games For'!$A$5:$A$22,D$5,'United Games For'!AS$5:AS$22)</f>
        <v>43</v>
      </c>
      <c r="E47" s="16" t="n">
        <f aca="false">AVERAGEIF('United Games For'!$A$5:$A$22,E$5,'United Games For'!AS$5:AS$22)</f>
        <v>35.5</v>
      </c>
      <c r="F47" s="16" t="n">
        <f aca="false">AVERAGEIF('United Games For'!$A$5:$A$22,F$5,'United Games For'!AS$5:AS$22)</f>
        <v>29.5</v>
      </c>
      <c r="G47" s="16" t="n">
        <f aca="false">AVERAGEIF('United Games For'!$A$5:$A$22,G$5,'United Games For'!AS$5:AS$22)</f>
        <v>28</v>
      </c>
      <c r="H47" s="16" t="n">
        <f aca="false">AVERAGEIF('United Games For'!$A$5:$A$22,H$5,'United Games For'!AS$5:AS$22)</f>
        <v>26.5</v>
      </c>
      <c r="I47" s="16" t="n">
        <f aca="false">AVERAGEIF('United Games For'!$A$5:$A$22,I$5,'United Games For'!AS$5:AS$22)</f>
        <v>45.5</v>
      </c>
      <c r="J47" s="16" t="n">
        <f aca="false">AVERAGEIF('United Games For'!$A$5:$A$22,J$5,'United Games For'!AS$5:AS$22)</f>
        <v>23</v>
      </c>
      <c r="K47" s="16" t="n">
        <f aca="false">AVERAGEIF('United Games For'!$A$5:$A$22,K$5,'United Games For'!AS$5:AS$22)</f>
        <v>37</v>
      </c>
      <c r="L47" s="16" t="n">
        <f aca="false">AVERAGEIF('United Games For'!$A$5:$A$22,L$5,'United Games For'!AS$5:AS$22)</f>
        <v>36</v>
      </c>
      <c r="M47" s="16" t="n">
        <f aca="false">AVERAGEIF('United Games For'!$A$5:$A$22,M$5,'United Games For'!AS$5:AS$22)</f>
        <v>34.5</v>
      </c>
      <c r="N47" s="16" t="n">
        <f aca="false">AVERAGEIF('United Games For'!$A$5:$A$22,N$5,'United Games For'!AS$5:AS$22)</f>
        <v>36</v>
      </c>
      <c r="P47" s="16" t="n">
        <f aca="false">AVERAGEIF('United Games Against'!$A$5:$A$22,D$5,'United Games Against'!AS$5:AS$22)</f>
        <v>36</v>
      </c>
      <c r="Q47" s="16" t="n">
        <f aca="false">AVERAGEIF('United Games Against'!$A$5:$A$22,E$5,'United Games Against'!AS$5:AS$22)</f>
        <v>46.5</v>
      </c>
      <c r="R47" s="16" t="n">
        <f aca="false">AVERAGEIF('United Games Against'!$A$5:$A$22,F$5,'United Games Against'!AS$5:AS$22)</f>
        <v>29.5</v>
      </c>
      <c r="S47" s="16" t="n">
        <f aca="false">AVERAGEIF('United Games Against'!$A$5:$A$22,G$5,'United Games Against'!AS$5:AS$22)</f>
        <v>40</v>
      </c>
      <c r="T47" s="16" t="n">
        <f aca="false">AVERAGEIF('United Games Against'!$A$5:$A$22,H$5,'United Games Against'!AS$5:AS$22)</f>
        <v>40.5</v>
      </c>
      <c r="U47" s="16" t="n">
        <f aca="false">AVERAGEIF('United Games Against'!$A$5:$A$22,I$5,'United Games Against'!AS$5:AS$22)</f>
        <v>40</v>
      </c>
      <c r="V47" s="16" t="n">
        <f aca="false">AVERAGEIF('United Games Against'!$A$5:$A$22,J$5,'United Games Against'!AS$5:AS$22)</f>
        <v>48</v>
      </c>
      <c r="W47" s="16" t="n">
        <f aca="false">AVERAGEIF('United Games Against'!$A$5:$A$22,K$5,'United Games Against'!AS$5:AS$22)</f>
        <v>31</v>
      </c>
      <c r="X47" s="16" t="n">
        <f aca="false">AVERAGEIF('United Games Against'!$A$5:$A$22,L$5,'United Games Against'!AS$5:AS$22)</f>
        <v>45</v>
      </c>
      <c r="Y47" s="16" t="n">
        <f aca="false">AVERAGEIF('United Games Against'!$A$5:$A$22,M$5,'United Games Against'!AS$5:AS$22)</f>
        <v>49.5</v>
      </c>
      <c r="Z47" s="16" t="n">
        <f aca="false">AVERAGEIF('United Games Against'!$A$5:$A$22,N$5,'United Games Against'!AS$5:AS$22)</f>
        <v>35</v>
      </c>
      <c r="AB47" s="16" t="n">
        <f aca="false">D47-P47</f>
        <v>7</v>
      </c>
      <c r="AC47" s="16" t="n">
        <f aca="false">E47-Q47</f>
        <v>-11</v>
      </c>
      <c r="AD47" s="16" t="n">
        <f aca="false">F47-R47</f>
        <v>0</v>
      </c>
      <c r="AE47" s="16" t="n">
        <f aca="false">G47-S47</f>
        <v>-12</v>
      </c>
      <c r="AF47" s="16" t="n">
        <f aca="false">H47-T47</f>
        <v>-14</v>
      </c>
      <c r="AG47" s="16" t="n">
        <f aca="false">I47-U47</f>
        <v>5.5</v>
      </c>
      <c r="AH47" s="16" t="n">
        <f aca="false">J47-V47</f>
        <v>-25</v>
      </c>
      <c r="AI47" s="16" t="n">
        <f aca="false">K47-W47</f>
        <v>6</v>
      </c>
      <c r="AJ47" s="16" t="n">
        <f aca="false">L47-X47</f>
        <v>-9</v>
      </c>
      <c r="AK47" s="16" t="n">
        <f aca="false">M47-Y47</f>
        <v>-15</v>
      </c>
      <c r="AL47" s="16" t="n">
        <f aca="false">N47-Z47</f>
        <v>1</v>
      </c>
    </row>
    <row r="48" customFormat="false" ht="15" hidden="false" customHeight="false" outlineLevel="0" collapsed="false">
      <c r="A48" s="6" t="s">
        <v>37</v>
      </c>
      <c r="B48" s="7" t="s">
        <v>38</v>
      </c>
      <c r="C48" s="38" t="s">
        <v>179</v>
      </c>
      <c r="D48" s="16" t="n">
        <f aca="false">AVERAGEIF('United Games For'!$A$5:$A$22,D$5,'United Games For'!AT$5:AT$22)</f>
        <v>4</v>
      </c>
      <c r="E48" s="16" t="n">
        <f aca="false">AVERAGEIF('United Games For'!$A$5:$A$22,E$5,'United Games For'!AT$5:AT$22)</f>
        <v>19.5</v>
      </c>
      <c r="F48" s="16" t="n">
        <f aca="false">AVERAGEIF('United Games For'!$A$5:$A$22,F$5,'United Games For'!AT$5:AT$22)</f>
        <v>6.5</v>
      </c>
      <c r="G48" s="16" t="n">
        <f aca="false">AVERAGEIF('United Games For'!$A$5:$A$22,G$5,'United Games For'!AT$5:AT$22)</f>
        <v>8</v>
      </c>
      <c r="H48" s="16" t="n">
        <f aca="false">AVERAGEIF('United Games For'!$A$5:$A$22,H$5,'United Games For'!AT$5:AT$22)</f>
        <v>14</v>
      </c>
      <c r="I48" s="16" t="n">
        <f aca="false">AVERAGEIF('United Games For'!$A$5:$A$22,I$5,'United Games For'!AT$5:AT$22)</f>
        <v>9</v>
      </c>
      <c r="J48" s="16" t="n">
        <f aca="false">AVERAGEIF('United Games For'!$A$5:$A$22,J$5,'United Games For'!AT$5:AT$22)</f>
        <v>19</v>
      </c>
      <c r="K48" s="16" t="n">
        <f aca="false">AVERAGEIF('United Games For'!$A$5:$A$22,K$5,'United Games For'!AT$5:AT$22)</f>
        <v>10</v>
      </c>
      <c r="L48" s="16" t="n">
        <f aca="false">AVERAGEIF('United Games For'!$A$5:$A$22,L$5,'United Games For'!AT$5:AT$22)</f>
        <v>12.5</v>
      </c>
      <c r="M48" s="16" t="n">
        <f aca="false">AVERAGEIF('United Games For'!$A$5:$A$22,M$5,'United Games For'!AT$5:AT$22)</f>
        <v>5.5</v>
      </c>
      <c r="N48" s="16" t="n">
        <f aca="false">AVERAGEIF('United Games For'!$A$5:$A$22,N$5,'United Games For'!AT$5:AT$22)</f>
        <v>8</v>
      </c>
      <c r="P48" s="16" t="n">
        <f aca="false">AVERAGEIF('United Games Against'!$A$5:$A$22,D$5,'United Games Against'!AT$5:AT$22)</f>
        <v>17</v>
      </c>
      <c r="Q48" s="16" t="n">
        <f aca="false">AVERAGEIF('United Games Against'!$A$5:$A$22,E$5,'United Games Against'!AT$5:AT$22)</f>
        <v>12</v>
      </c>
      <c r="R48" s="16" t="n">
        <f aca="false">AVERAGEIF('United Games Against'!$A$5:$A$22,F$5,'United Games Against'!AT$5:AT$22)</f>
        <v>18.5</v>
      </c>
      <c r="S48" s="16" t="n">
        <f aca="false">AVERAGEIF('United Games Against'!$A$5:$A$22,G$5,'United Games Against'!AT$5:AT$22)</f>
        <v>10</v>
      </c>
      <c r="T48" s="16" t="n">
        <f aca="false">AVERAGEIF('United Games Against'!$A$5:$A$22,H$5,'United Games Against'!AT$5:AT$22)</f>
        <v>12</v>
      </c>
      <c r="U48" s="16" t="n">
        <f aca="false">AVERAGEIF('United Games Against'!$A$5:$A$22,I$5,'United Games Against'!AT$5:AT$22)</f>
        <v>18.5</v>
      </c>
      <c r="V48" s="16" t="n">
        <f aca="false">AVERAGEIF('United Games Against'!$A$5:$A$22,J$5,'United Games Against'!AT$5:AT$22)</f>
        <v>20</v>
      </c>
      <c r="W48" s="16" t="n">
        <f aca="false">AVERAGEIF('United Games Against'!$A$5:$A$22,K$5,'United Games Against'!AT$5:AT$22)</f>
        <v>22</v>
      </c>
      <c r="X48" s="16" t="n">
        <f aca="false">AVERAGEIF('United Games Against'!$A$5:$A$22,L$5,'United Games Against'!AT$5:AT$22)</f>
        <v>10</v>
      </c>
      <c r="Y48" s="16" t="n">
        <f aca="false">AVERAGEIF('United Games Against'!$A$5:$A$22,M$5,'United Games Against'!AT$5:AT$22)</f>
        <v>16.5</v>
      </c>
      <c r="Z48" s="16" t="n">
        <f aca="false">AVERAGEIF('United Games Against'!$A$5:$A$22,N$5,'United Games Against'!AT$5:AT$22)</f>
        <v>11</v>
      </c>
      <c r="AB48" s="16" t="n">
        <f aca="false">D48-P48</f>
        <v>-13</v>
      </c>
      <c r="AC48" s="16" t="n">
        <f aca="false">E48-Q48</f>
        <v>7.5</v>
      </c>
      <c r="AD48" s="16" t="n">
        <f aca="false">F48-R48</f>
        <v>-12</v>
      </c>
      <c r="AE48" s="16" t="n">
        <f aca="false">G48-S48</f>
        <v>-2</v>
      </c>
      <c r="AF48" s="16" t="n">
        <f aca="false">H48-T48</f>
        <v>2</v>
      </c>
      <c r="AG48" s="16" t="n">
        <f aca="false">I48-U48</f>
        <v>-9.5</v>
      </c>
      <c r="AH48" s="16" t="n">
        <f aca="false">J48-V48</f>
        <v>-1</v>
      </c>
      <c r="AI48" s="16" t="n">
        <f aca="false">K48-W48</f>
        <v>-12</v>
      </c>
      <c r="AJ48" s="16" t="n">
        <f aca="false">L48-X48</f>
        <v>2.5</v>
      </c>
      <c r="AK48" s="16" t="n">
        <f aca="false">M48-Y48</f>
        <v>-11</v>
      </c>
      <c r="AL48" s="16" t="n">
        <f aca="false">N48-Z48</f>
        <v>-3</v>
      </c>
    </row>
    <row r="49" customFormat="false" ht="15" hidden="false" customHeight="false" outlineLevel="0" collapsed="false">
      <c r="A49" s="6" t="s">
        <v>73</v>
      </c>
      <c r="B49" s="7" t="s">
        <v>74</v>
      </c>
      <c r="C49" s="38" t="s">
        <v>179</v>
      </c>
      <c r="D49" s="16" t="n">
        <f aca="false">AVERAGEIF('United Games For'!$A$5:$A$22,D$5,'United Games For'!AU$5:AU$22)</f>
        <v>22</v>
      </c>
      <c r="E49" s="16" t="n">
        <f aca="false">AVERAGEIF('United Games For'!$A$5:$A$22,E$5,'United Games For'!AU$5:AU$22)</f>
        <v>9</v>
      </c>
      <c r="F49" s="16" t="n">
        <f aca="false">AVERAGEIF('United Games For'!$A$5:$A$22,F$5,'United Games For'!AU$5:AU$22)</f>
        <v>12</v>
      </c>
      <c r="G49" s="16" t="n">
        <f aca="false">AVERAGEIF('United Games For'!$A$5:$A$22,G$5,'United Games For'!AU$5:AU$22)</f>
        <v>10</v>
      </c>
      <c r="H49" s="16" t="n">
        <f aca="false">AVERAGEIF('United Games For'!$A$5:$A$22,H$5,'United Games For'!AU$5:AU$22)</f>
        <v>15</v>
      </c>
      <c r="I49" s="16" t="n">
        <f aca="false">AVERAGEIF('United Games For'!$A$5:$A$22,I$5,'United Games For'!AU$5:AU$22)</f>
        <v>8</v>
      </c>
      <c r="J49" s="16" t="n">
        <f aca="false">AVERAGEIF('United Games For'!$A$5:$A$22,J$5,'United Games For'!AU$5:AU$22)</f>
        <v>4</v>
      </c>
      <c r="K49" s="16" t="n">
        <f aca="false">AVERAGEIF('United Games For'!$A$5:$A$22,K$5,'United Games For'!AU$5:AU$22)</f>
        <v>5</v>
      </c>
      <c r="L49" s="16" t="n">
        <f aca="false">AVERAGEIF('United Games For'!$A$5:$A$22,L$5,'United Games For'!AU$5:AU$22)</f>
        <v>4.5</v>
      </c>
      <c r="M49" s="16" t="n">
        <f aca="false">AVERAGEIF('United Games For'!$A$5:$A$22,M$5,'United Games For'!AU$5:AU$22)</f>
        <v>13.5</v>
      </c>
      <c r="N49" s="16" t="n">
        <f aca="false">AVERAGEIF('United Games For'!$A$5:$A$22,N$5,'United Games For'!AU$5:AU$22)</f>
        <v>21.5</v>
      </c>
      <c r="P49" s="16" t="n">
        <f aca="false">AVERAGEIF('United Games Against'!$A$5:$A$22,D$5,'United Games Against'!AU$5:AU$22)</f>
        <v>6</v>
      </c>
      <c r="Q49" s="16" t="n">
        <f aca="false">AVERAGEIF('United Games Against'!$A$5:$A$22,E$5,'United Games Against'!AU$5:AU$22)</f>
        <v>21</v>
      </c>
      <c r="R49" s="16" t="n">
        <f aca="false">AVERAGEIF('United Games Against'!$A$5:$A$22,F$5,'United Games Against'!AU$5:AU$22)</f>
        <v>6.5</v>
      </c>
      <c r="S49" s="16" t="n">
        <f aca="false">AVERAGEIF('United Games Against'!$A$5:$A$22,G$5,'United Games Against'!AU$5:AU$22)</f>
        <v>11</v>
      </c>
      <c r="T49" s="16" t="n">
        <f aca="false">AVERAGEIF('United Games Against'!$A$5:$A$22,H$5,'United Games Against'!AU$5:AU$22)</f>
        <v>15.5</v>
      </c>
      <c r="U49" s="16" t="n">
        <f aca="false">AVERAGEIF('United Games Against'!$A$5:$A$22,I$5,'United Games Against'!AU$5:AU$22)</f>
        <v>11</v>
      </c>
      <c r="V49" s="16" t="n">
        <f aca="false">AVERAGEIF('United Games Against'!$A$5:$A$22,J$5,'United Games Against'!AU$5:AU$22)</f>
        <v>12</v>
      </c>
      <c r="W49" s="16" t="n">
        <f aca="false">AVERAGEIF('United Games Against'!$A$5:$A$22,K$5,'United Games Against'!AU$5:AU$22)</f>
        <v>9</v>
      </c>
      <c r="X49" s="16" t="n">
        <f aca="false">AVERAGEIF('United Games Against'!$A$5:$A$22,L$5,'United Games Against'!AU$5:AU$22)</f>
        <v>12</v>
      </c>
      <c r="Y49" s="16" t="n">
        <f aca="false">AVERAGEIF('United Games Against'!$A$5:$A$22,M$5,'United Games Against'!AU$5:AU$22)</f>
        <v>7.5</v>
      </c>
      <c r="Z49" s="16" t="n">
        <f aca="false">AVERAGEIF('United Games Against'!$A$5:$A$22,N$5,'United Games Against'!AU$5:AU$22)</f>
        <v>5</v>
      </c>
      <c r="AB49" s="16" t="n">
        <f aca="false">D49-P49</f>
        <v>16</v>
      </c>
      <c r="AC49" s="16" t="n">
        <f aca="false">E49-Q49</f>
        <v>-12</v>
      </c>
      <c r="AD49" s="16" t="n">
        <f aca="false">F49-R49</f>
        <v>5.5</v>
      </c>
      <c r="AE49" s="16" t="n">
        <f aca="false">G49-S49</f>
        <v>-1</v>
      </c>
      <c r="AF49" s="16" t="n">
        <f aca="false">H49-T49</f>
        <v>-0.5</v>
      </c>
      <c r="AG49" s="16" t="n">
        <f aca="false">I49-U49</f>
        <v>-3</v>
      </c>
      <c r="AH49" s="16" t="n">
        <f aca="false">J49-V49</f>
        <v>-8</v>
      </c>
      <c r="AI49" s="16" t="n">
        <f aca="false">K49-W49</f>
        <v>-4</v>
      </c>
      <c r="AJ49" s="16" t="n">
        <f aca="false">L49-X49</f>
        <v>-7.5</v>
      </c>
      <c r="AK49" s="16" t="n">
        <f aca="false">M49-Y49</f>
        <v>6</v>
      </c>
      <c r="AL49" s="16" t="n">
        <f aca="false">N49-Z49</f>
        <v>16.5</v>
      </c>
    </row>
    <row r="50" customFormat="false" ht="15" hidden="false" customHeight="false" outlineLevel="0" collapsed="false">
      <c r="A50" s="6" t="s">
        <v>33</v>
      </c>
      <c r="B50" s="7" t="s">
        <v>34</v>
      </c>
      <c r="C50" s="38" t="s">
        <v>181</v>
      </c>
      <c r="D50" s="16" t="n">
        <f aca="false">AVERAGEIF('United Games For'!$A$5:$A$22,D$5,'United Games For'!AV$5:AV$22)</f>
        <v>6</v>
      </c>
      <c r="E50" s="16" t="n">
        <f aca="false">AVERAGEIF('United Games For'!$A$5:$A$22,E$5,'United Games For'!AV$5:AV$22)</f>
        <v>7.5</v>
      </c>
      <c r="F50" s="16" t="n">
        <f aca="false">AVERAGEIF('United Games For'!$A$5:$A$22,F$5,'United Games For'!AV$5:AV$22)</f>
        <v>7.5</v>
      </c>
      <c r="G50" s="16" t="n">
        <f aca="false">AVERAGEIF('United Games For'!$A$5:$A$22,G$5,'United Games For'!AV$5:AV$22)</f>
        <v>14</v>
      </c>
      <c r="H50" s="16" t="n">
        <f aca="false">AVERAGEIF('United Games For'!$A$5:$A$22,H$5,'United Games For'!AV$5:AV$22)</f>
        <v>8</v>
      </c>
      <c r="I50" s="16" t="n">
        <f aca="false">AVERAGEIF('United Games For'!$A$5:$A$22,I$5,'United Games For'!AV$5:AV$22)</f>
        <v>9</v>
      </c>
      <c r="J50" s="16" t="n">
        <f aca="false">AVERAGEIF('United Games For'!$A$5:$A$22,J$5,'United Games For'!AV$5:AV$22)</f>
        <v>9</v>
      </c>
      <c r="K50" s="16" t="n">
        <f aca="false">AVERAGEIF('United Games For'!$A$5:$A$22,K$5,'United Games For'!AV$5:AV$22)</f>
        <v>15</v>
      </c>
      <c r="L50" s="16" t="n">
        <f aca="false">AVERAGEIF('United Games For'!$A$5:$A$22,L$5,'United Games For'!AV$5:AV$22)</f>
        <v>4.5</v>
      </c>
      <c r="M50" s="16" t="n">
        <f aca="false">AVERAGEIF('United Games For'!$A$5:$A$22,M$5,'United Games For'!AV$5:AV$22)</f>
        <v>9.5</v>
      </c>
      <c r="N50" s="16" t="n">
        <f aca="false">AVERAGEIF('United Games For'!$A$5:$A$22,N$5,'United Games For'!AV$5:AV$22)</f>
        <v>13.5</v>
      </c>
      <c r="P50" s="16" t="n">
        <f aca="false">AVERAGEIF('United Games Against'!$A$5:$A$22,D$5,'United Games Against'!AV$5:AV$22)</f>
        <v>3</v>
      </c>
      <c r="Q50" s="16" t="n">
        <f aca="false">AVERAGEIF('United Games Against'!$A$5:$A$22,E$5,'United Games Against'!AV$5:AV$22)</f>
        <v>6</v>
      </c>
      <c r="R50" s="16" t="n">
        <f aca="false">AVERAGEIF('United Games Against'!$A$5:$A$22,F$5,'United Games Against'!AV$5:AV$22)</f>
        <v>9.5</v>
      </c>
      <c r="S50" s="16" t="n">
        <f aca="false">AVERAGEIF('United Games Against'!$A$5:$A$22,G$5,'United Games Against'!AV$5:AV$22)</f>
        <v>7</v>
      </c>
      <c r="T50" s="16" t="n">
        <f aca="false">AVERAGEIF('United Games Against'!$A$5:$A$22,H$5,'United Games Against'!AV$5:AV$22)</f>
        <v>13</v>
      </c>
      <c r="U50" s="16" t="n">
        <f aca="false">AVERAGEIF('United Games Against'!$A$5:$A$22,I$5,'United Games Against'!AV$5:AV$22)</f>
        <v>9</v>
      </c>
      <c r="V50" s="16" t="n">
        <f aca="false">AVERAGEIF('United Games Against'!$A$5:$A$22,J$5,'United Games Against'!AV$5:AV$22)</f>
        <v>10</v>
      </c>
      <c r="W50" s="16" t="n">
        <f aca="false">AVERAGEIF('United Games Against'!$A$5:$A$22,K$5,'United Games Against'!AV$5:AV$22)</f>
        <v>6</v>
      </c>
      <c r="X50" s="16" t="n">
        <f aca="false">AVERAGEIF('United Games Against'!$A$5:$A$22,L$5,'United Games Against'!AV$5:AV$22)</f>
        <v>7</v>
      </c>
      <c r="Y50" s="16" t="n">
        <f aca="false">AVERAGEIF('United Games Against'!$A$5:$A$22,M$5,'United Games Against'!AV$5:AV$22)</f>
        <v>9.5</v>
      </c>
      <c r="Z50" s="16" t="n">
        <f aca="false">AVERAGEIF('United Games Against'!$A$5:$A$22,N$5,'United Games Against'!AV$5:AV$22)</f>
        <v>4.5</v>
      </c>
      <c r="AB50" s="16" t="n">
        <f aca="false">D50-P50</f>
        <v>3</v>
      </c>
      <c r="AC50" s="16" t="n">
        <f aca="false">E50-Q50</f>
        <v>1.5</v>
      </c>
      <c r="AD50" s="16" t="n">
        <f aca="false">F50-R50</f>
        <v>-2</v>
      </c>
      <c r="AE50" s="16" t="n">
        <f aca="false">G50-S50</f>
        <v>7</v>
      </c>
      <c r="AF50" s="16" t="n">
        <f aca="false">H50-T50</f>
        <v>-5</v>
      </c>
      <c r="AG50" s="16" t="n">
        <f aca="false">I50-U50</f>
        <v>0</v>
      </c>
      <c r="AH50" s="16" t="n">
        <f aca="false">J50-V50</f>
        <v>-1</v>
      </c>
      <c r="AI50" s="16" t="n">
        <f aca="false">K50-W50</f>
        <v>9</v>
      </c>
      <c r="AJ50" s="16" t="n">
        <f aca="false">L50-X50</f>
        <v>-2.5</v>
      </c>
      <c r="AK50" s="16" t="n">
        <f aca="false">M50-Y50</f>
        <v>0</v>
      </c>
      <c r="AL50" s="16" t="n">
        <f aca="false">N50-Z50</f>
        <v>9</v>
      </c>
    </row>
    <row r="51" customFormat="false" ht="15" hidden="false" customHeight="false" outlineLevel="0" collapsed="false">
      <c r="A51" s="6" t="s">
        <v>137</v>
      </c>
      <c r="B51" s="7" t="s">
        <v>138</v>
      </c>
      <c r="C51" s="38" t="s">
        <v>180</v>
      </c>
      <c r="D51" s="16" t="n">
        <f aca="false">AVERAGEIF('United Games For'!$A$5:$A$22,D$5,'United Games For'!AW$5:AW$22)</f>
        <v>4</v>
      </c>
      <c r="E51" s="16" t="n">
        <f aca="false">AVERAGEIF('United Games For'!$A$5:$A$22,E$5,'United Games For'!AW$5:AW$22)</f>
        <v>4</v>
      </c>
      <c r="F51" s="16" t="n">
        <f aca="false">AVERAGEIF('United Games For'!$A$5:$A$22,F$5,'United Games For'!AW$5:AW$22)</f>
        <v>3</v>
      </c>
      <c r="G51" s="16" t="n">
        <f aca="false">AVERAGEIF('United Games For'!$A$5:$A$22,G$5,'United Games For'!AW$5:AW$22)</f>
        <v>5</v>
      </c>
      <c r="H51" s="16" t="n">
        <f aca="false">AVERAGEIF('United Games For'!$A$5:$A$22,H$5,'United Games For'!AW$5:AW$22)</f>
        <v>1</v>
      </c>
      <c r="I51" s="16" t="n">
        <f aca="false">AVERAGEIF('United Games For'!$A$5:$A$22,I$5,'United Games For'!AW$5:AW$22)</f>
        <v>2</v>
      </c>
      <c r="J51" s="16" t="n">
        <f aca="false">AVERAGEIF('United Games For'!$A$5:$A$22,J$5,'United Games For'!AW$5:AW$22)</f>
        <v>3</v>
      </c>
      <c r="K51" s="16" t="n">
        <f aca="false">AVERAGEIF('United Games For'!$A$5:$A$22,K$5,'United Games For'!AW$5:AW$22)</f>
        <v>1</v>
      </c>
      <c r="L51" s="16" t="n">
        <f aca="false">AVERAGEIF('United Games For'!$A$5:$A$22,L$5,'United Games For'!AW$5:AW$22)</f>
        <v>1.5</v>
      </c>
      <c r="M51" s="16" t="n">
        <f aca="false">AVERAGEIF('United Games For'!$A$5:$A$22,M$5,'United Games For'!AW$5:AW$22)</f>
        <v>2</v>
      </c>
      <c r="N51" s="16" t="n">
        <f aca="false">AVERAGEIF('United Games For'!$A$5:$A$22,N$5,'United Games For'!AW$5:AW$22)</f>
        <v>2</v>
      </c>
      <c r="P51" s="16" t="n">
        <f aca="false">AVERAGEIF('United Games Against'!$A$5:$A$22,D$5,'United Games Against'!AW$5:AW$22)</f>
        <v>1</v>
      </c>
      <c r="Q51" s="16" t="n">
        <f aca="false">AVERAGEIF('United Games Against'!$A$5:$A$22,E$5,'United Games Against'!AW$5:AW$22)</f>
        <v>2</v>
      </c>
      <c r="R51" s="16" t="n">
        <f aca="false">AVERAGEIF('United Games Against'!$A$5:$A$22,F$5,'United Games Against'!AW$5:AW$22)</f>
        <v>2</v>
      </c>
      <c r="S51" s="16" t="n">
        <f aca="false">AVERAGEIF('United Games Against'!$A$5:$A$22,G$5,'United Games Against'!AW$5:AW$22)</f>
        <v>0</v>
      </c>
      <c r="T51" s="16" t="n">
        <f aca="false">AVERAGEIF('United Games Against'!$A$5:$A$22,H$5,'United Games Against'!AW$5:AW$22)</f>
        <v>1.5</v>
      </c>
      <c r="U51" s="16" t="n">
        <f aca="false">AVERAGEIF('United Games Against'!$A$5:$A$22,I$5,'United Games Against'!AW$5:AW$22)</f>
        <v>1</v>
      </c>
      <c r="V51" s="16" t="n">
        <f aca="false">AVERAGEIF('United Games Against'!$A$5:$A$22,J$5,'United Games Against'!AW$5:AW$22)</f>
        <v>1</v>
      </c>
      <c r="W51" s="16" t="n">
        <f aca="false">AVERAGEIF('United Games Against'!$A$5:$A$22,K$5,'United Games Against'!AW$5:AW$22)</f>
        <v>1</v>
      </c>
      <c r="X51" s="16" t="n">
        <f aca="false">AVERAGEIF('United Games Against'!$A$5:$A$22,L$5,'United Games Against'!AW$5:AW$22)</f>
        <v>2</v>
      </c>
      <c r="Y51" s="16" t="n">
        <f aca="false">AVERAGEIF('United Games Against'!$A$5:$A$22,M$5,'United Games Against'!AW$5:AW$22)</f>
        <v>1.5</v>
      </c>
      <c r="Z51" s="16" t="n">
        <f aca="false">AVERAGEIF('United Games Against'!$A$5:$A$22,N$5,'United Games Against'!AW$5:AW$22)</f>
        <v>1</v>
      </c>
      <c r="AB51" s="16" t="n">
        <f aca="false">D51-P51</f>
        <v>3</v>
      </c>
      <c r="AC51" s="16" t="n">
        <f aca="false">E51-Q51</f>
        <v>2</v>
      </c>
      <c r="AD51" s="16" t="n">
        <f aca="false">F51-R51</f>
        <v>1</v>
      </c>
      <c r="AE51" s="16" t="n">
        <f aca="false">G51-S51</f>
        <v>5</v>
      </c>
      <c r="AF51" s="16" t="n">
        <f aca="false">H51-T51</f>
        <v>-0.5</v>
      </c>
      <c r="AG51" s="16" t="n">
        <f aca="false">I51-U51</f>
        <v>1</v>
      </c>
      <c r="AH51" s="16" t="n">
        <f aca="false">J51-V51</f>
        <v>2</v>
      </c>
      <c r="AI51" s="16" t="n">
        <f aca="false">K51-W51</f>
        <v>0</v>
      </c>
      <c r="AJ51" s="16" t="n">
        <f aca="false">L51-X51</f>
        <v>-0.5</v>
      </c>
      <c r="AK51" s="16" t="n">
        <f aca="false">M51-Y51</f>
        <v>0.5</v>
      </c>
      <c r="AL51" s="16" t="n">
        <f aca="false">N51-Z51</f>
        <v>1</v>
      </c>
    </row>
    <row r="52" customFormat="false" ht="15" hidden="false" customHeight="false" outlineLevel="0" collapsed="false">
      <c r="A52" s="6" t="s">
        <v>141</v>
      </c>
      <c r="B52" s="7" t="s">
        <v>142</v>
      </c>
      <c r="C52" s="38" t="s">
        <v>179</v>
      </c>
      <c r="D52" s="16" t="n">
        <f aca="false">AVERAGEIF('United Games For'!$A$5:$A$22,D$5,'United Games For'!AX$5:AX$22)</f>
        <v>52</v>
      </c>
      <c r="E52" s="16" t="n">
        <f aca="false">AVERAGEIF('United Games For'!$A$5:$A$22,E$5,'United Games For'!AX$5:AX$22)</f>
        <v>51</v>
      </c>
      <c r="F52" s="16" t="n">
        <f aca="false">AVERAGEIF('United Games For'!$A$5:$A$22,F$5,'United Games For'!AX$5:AX$22)</f>
        <v>50</v>
      </c>
      <c r="G52" s="16" t="n">
        <f aca="false">AVERAGEIF('United Games For'!$A$5:$A$22,G$5,'United Games For'!AX$5:AX$22)</f>
        <v>60</v>
      </c>
      <c r="H52" s="16" t="n">
        <f aca="false">AVERAGEIF('United Games For'!$A$5:$A$22,H$5,'United Games For'!AX$5:AX$22)</f>
        <v>53.5</v>
      </c>
      <c r="I52" s="16" t="n">
        <f aca="false">AVERAGEIF('United Games For'!$A$5:$A$22,I$5,'United Games For'!AX$5:AX$22)</f>
        <v>36.5</v>
      </c>
      <c r="J52" s="16" t="n">
        <f aca="false">AVERAGEIF('United Games For'!$A$5:$A$22,J$5,'United Games For'!AX$5:AX$22)</f>
        <v>44</v>
      </c>
      <c r="K52" s="16" t="n">
        <f aca="false">AVERAGEIF('United Games For'!$A$5:$A$22,K$5,'United Games For'!AX$5:AX$22)</f>
        <v>45</v>
      </c>
      <c r="L52" s="16" t="n">
        <f aca="false">AVERAGEIF('United Games For'!$A$5:$A$22,L$5,'United Games For'!AX$5:AX$22)</f>
        <v>27</v>
      </c>
      <c r="M52" s="16" t="n">
        <f aca="false">AVERAGEIF('United Games For'!$A$5:$A$22,M$5,'United Games For'!AX$5:AX$22)</f>
        <v>42</v>
      </c>
      <c r="N52" s="16" t="n">
        <f aca="false">AVERAGEIF('United Games For'!$A$5:$A$22,N$5,'United Games For'!AX$5:AX$22)</f>
        <v>58</v>
      </c>
      <c r="P52" s="16" t="n">
        <f aca="false">AVERAGEIF('United Games Against'!$A$5:$A$22,D$5,'United Games Against'!AX$5:AX$22)</f>
        <v>33</v>
      </c>
      <c r="Q52" s="16" t="n">
        <f aca="false">AVERAGEIF('United Games Against'!$A$5:$A$22,E$5,'United Games Against'!AX$5:AX$22)</f>
        <v>55</v>
      </c>
      <c r="R52" s="16" t="n">
        <f aca="false">AVERAGEIF('United Games Against'!$A$5:$A$22,F$5,'United Games Against'!AX$5:AX$22)</f>
        <v>53</v>
      </c>
      <c r="S52" s="16" t="n">
        <f aca="false">AVERAGEIF('United Games Against'!$A$5:$A$22,G$5,'United Games Against'!AX$5:AX$22)</f>
        <v>38</v>
      </c>
      <c r="T52" s="16" t="n">
        <f aca="false">AVERAGEIF('United Games Against'!$A$5:$A$22,H$5,'United Games Against'!AX$5:AX$22)</f>
        <v>57.5</v>
      </c>
      <c r="U52" s="16" t="n">
        <f aca="false">AVERAGEIF('United Games Against'!$A$5:$A$22,I$5,'United Games Against'!AX$5:AX$22)</f>
        <v>50</v>
      </c>
      <c r="V52" s="16" t="n">
        <f aca="false">AVERAGEIF('United Games Against'!$A$5:$A$22,J$5,'United Games Against'!AX$5:AX$22)</f>
        <v>41</v>
      </c>
      <c r="W52" s="16" t="n">
        <f aca="false">AVERAGEIF('United Games Against'!$A$5:$A$22,K$5,'United Games Against'!AX$5:AX$22)</f>
        <v>43</v>
      </c>
      <c r="X52" s="16" t="n">
        <f aca="false">AVERAGEIF('United Games Against'!$A$5:$A$22,L$5,'United Games Against'!AX$5:AX$22)</f>
        <v>44.5</v>
      </c>
      <c r="Y52" s="16" t="n">
        <f aca="false">AVERAGEIF('United Games Against'!$A$5:$A$22,M$5,'United Games Against'!AX$5:AX$22)</f>
        <v>43</v>
      </c>
      <c r="Z52" s="16" t="n">
        <f aca="false">AVERAGEIF('United Games Against'!$A$5:$A$22,N$5,'United Games Against'!AX$5:AX$22)</f>
        <v>41.5</v>
      </c>
      <c r="AB52" s="16" t="n">
        <f aca="false">D52-P52</f>
        <v>19</v>
      </c>
      <c r="AC52" s="16" t="n">
        <f aca="false">E52-Q52</f>
        <v>-4</v>
      </c>
      <c r="AD52" s="16" t="n">
        <f aca="false">F52-R52</f>
        <v>-3</v>
      </c>
      <c r="AE52" s="16" t="n">
        <f aca="false">G52-S52</f>
        <v>22</v>
      </c>
      <c r="AF52" s="16" t="n">
        <f aca="false">H52-T52</f>
        <v>-4</v>
      </c>
      <c r="AG52" s="16" t="n">
        <f aca="false">I52-U52</f>
        <v>-13.5</v>
      </c>
      <c r="AH52" s="16" t="n">
        <f aca="false">J52-V52</f>
        <v>3</v>
      </c>
      <c r="AI52" s="16" t="n">
        <f aca="false">K52-W52</f>
        <v>2</v>
      </c>
      <c r="AJ52" s="16" t="n">
        <f aca="false">L52-X52</f>
        <v>-17.5</v>
      </c>
      <c r="AK52" s="16" t="n">
        <f aca="false">M52-Y52</f>
        <v>-1</v>
      </c>
      <c r="AL52" s="16" t="n">
        <f aca="false">N52-Z52</f>
        <v>16.5</v>
      </c>
    </row>
    <row r="53" customFormat="false" ht="15" hidden="false" customHeight="false" outlineLevel="0" collapsed="false">
      <c r="A53" s="6" t="s">
        <v>145</v>
      </c>
      <c r="B53" s="7" t="s">
        <v>146</v>
      </c>
      <c r="C53" s="38" t="s">
        <v>179</v>
      </c>
      <c r="D53" s="16" t="n">
        <f aca="false">AVERAGEIF('United Games For'!$A$5:$A$22,D$5,'United Games For'!AY$5:AY$22)</f>
        <v>32</v>
      </c>
      <c r="E53" s="16" t="n">
        <f aca="false">AVERAGEIF('United Games For'!$A$5:$A$22,E$5,'United Games For'!AY$5:AY$22)</f>
        <v>20.5</v>
      </c>
      <c r="F53" s="16" t="n">
        <f aca="false">AVERAGEIF('United Games For'!$A$5:$A$22,F$5,'United Games For'!AY$5:AY$22)</f>
        <v>22.5</v>
      </c>
      <c r="G53" s="16" t="n">
        <f aca="false">AVERAGEIF('United Games For'!$A$5:$A$22,G$5,'United Games For'!AY$5:AY$22)</f>
        <v>29</v>
      </c>
      <c r="H53" s="16" t="n">
        <f aca="false">AVERAGEIF('United Games For'!$A$5:$A$22,H$5,'United Games For'!AY$5:AY$22)</f>
        <v>24</v>
      </c>
      <c r="I53" s="16" t="n">
        <f aca="false">AVERAGEIF('United Games For'!$A$5:$A$22,I$5,'United Games For'!AY$5:AY$22)</f>
        <v>19</v>
      </c>
      <c r="J53" s="16" t="n">
        <f aca="false">AVERAGEIF('United Games For'!$A$5:$A$22,J$5,'United Games For'!AY$5:AY$22)</f>
        <v>16</v>
      </c>
      <c r="K53" s="16" t="n">
        <f aca="false">AVERAGEIF('United Games For'!$A$5:$A$22,K$5,'United Games For'!AY$5:AY$22)</f>
        <v>21</v>
      </c>
      <c r="L53" s="16" t="n">
        <f aca="false">AVERAGEIF('United Games For'!$A$5:$A$22,L$5,'United Games For'!AY$5:AY$22)</f>
        <v>10.5</v>
      </c>
      <c r="M53" s="16" t="n">
        <f aca="false">AVERAGEIF('United Games For'!$A$5:$A$22,M$5,'United Games For'!AY$5:AY$22)</f>
        <v>25</v>
      </c>
      <c r="N53" s="16" t="n">
        <f aca="false">AVERAGEIF('United Games For'!$A$5:$A$22,N$5,'United Games For'!AY$5:AY$22)</f>
        <v>37</v>
      </c>
      <c r="P53" s="16" t="n">
        <f aca="false">AVERAGEIF('United Games Against'!$A$5:$A$22,D$5,'United Games Against'!AY$5:AY$22)</f>
        <v>10</v>
      </c>
      <c r="Q53" s="16" t="n">
        <f aca="false">AVERAGEIF('United Games Against'!$A$5:$A$22,E$5,'United Games Against'!AY$5:AY$22)</f>
        <v>29</v>
      </c>
      <c r="R53" s="16" t="n">
        <f aca="false">AVERAGEIF('United Games Against'!$A$5:$A$22,F$5,'United Games Against'!AY$5:AY$22)</f>
        <v>18</v>
      </c>
      <c r="S53" s="16" t="n">
        <f aca="false">AVERAGEIF('United Games Against'!$A$5:$A$22,G$5,'United Games Against'!AY$5:AY$22)</f>
        <v>18</v>
      </c>
      <c r="T53" s="16" t="n">
        <f aca="false">AVERAGEIF('United Games Against'!$A$5:$A$22,H$5,'United Games Against'!AY$5:AY$22)</f>
        <v>30</v>
      </c>
      <c r="U53" s="16" t="n">
        <f aca="false">AVERAGEIF('United Games Against'!$A$5:$A$22,I$5,'United Games Against'!AY$5:AY$22)</f>
        <v>21</v>
      </c>
      <c r="V53" s="16" t="n">
        <f aca="false">AVERAGEIF('United Games Against'!$A$5:$A$22,J$5,'United Games Against'!AY$5:AY$22)</f>
        <v>23</v>
      </c>
      <c r="W53" s="16" t="n">
        <f aca="false">AVERAGEIF('United Games Against'!$A$5:$A$22,K$5,'United Games Against'!AY$5:AY$22)</f>
        <v>16</v>
      </c>
      <c r="X53" s="16" t="n">
        <f aca="false">AVERAGEIF('United Games Against'!$A$5:$A$22,L$5,'United Games Against'!AY$5:AY$22)</f>
        <v>21</v>
      </c>
      <c r="Y53" s="16" t="n">
        <f aca="false">AVERAGEIF('United Games Against'!$A$5:$A$22,M$5,'United Games Against'!AY$5:AY$22)</f>
        <v>18.5</v>
      </c>
      <c r="Z53" s="16" t="n">
        <f aca="false">AVERAGEIF('United Games Against'!$A$5:$A$22,N$5,'United Games Against'!AY$5:AY$22)</f>
        <v>10.5</v>
      </c>
      <c r="AB53" s="16" t="n">
        <f aca="false">D53-P53</f>
        <v>22</v>
      </c>
      <c r="AC53" s="16" t="n">
        <f aca="false">E53-Q53</f>
        <v>-8.5</v>
      </c>
      <c r="AD53" s="16" t="n">
        <f aca="false">F53-R53</f>
        <v>4.5</v>
      </c>
      <c r="AE53" s="16" t="n">
        <f aca="false">G53-S53</f>
        <v>11</v>
      </c>
      <c r="AF53" s="16" t="n">
        <f aca="false">H53-T53</f>
        <v>-6</v>
      </c>
      <c r="AG53" s="16" t="n">
        <f aca="false">I53-U53</f>
        <v>-2</v>
      </c>
      <c r="AH53" s="16" t="n">
        <f aca="false">J53-V53</f>
        <v>-7</v>
      </c>
      <c r="AI53" s="16" t="n">
        <f aca="false">K53-W53</f>
        <v>5</v>
      </c>
      <c r="AJ53" s="16" t="n">
        <f aca="false">L53-X53</f>
        <v>-10.5</v>
      </c>
      <c r="AK53" s="16" t="n">
        <f aca="false">M53-Y53</f>
        <v>6.5</v>
      </c>
      <c r="AL53" s="16" t="n">
        <f aca="false">N53-Z53</f>
        <v>26.5</v>
      </c>
    </row>
    <row r="54" customFormat="false" ht="15" hidden="false" customHeight="false" outlineLevel="0" collapsed="false">
      <c r="A54" s="6" t="s">
        <v>77</v>
      </c>
      <c r="B54" s="7" t="s">
        <v>78</v>
      </c>
      <c r="C54" s="38" t="s">
        <v>179</v>
      </c>
      <c r="D54" s="16" t="n">
        <f aca="false">AVERAGEIF('United Games For'!$A$5:$A$22,D$5,'United Games For'!AZ$5:AZ$22)</f>
        <v>68</v>
      </c>
      <c r="E54" s="16" t="n">
        <f aca="false">AVERAGEIF('United Games For'!$A$5:$A$22,E$5,'United Games For'!AZ$5:AZ$22)</f>
        <v>43.5</v>
      </c>
      <c r="F54" s="16" t="n">
        <f aca="false">AVERAGEIF('United Games For'!$A$5:$A$22,F$5,'United Games For'!AZ$5:AZ$22)</f>
        <v>53</v>
      </c>
      <c r="G54" s="16" t="n">
        <f aca="false">AVERAGEIF('United Games For'!$A$5:$A$22,G$5,'United Games For'!AZ$5:AZ$22)</f>
        <v>34</v>
      </c>
      <c r="H54" s="16" t="n">
        <f aca="false">AVERAGEIF('United Games For'!$A$5:$A$22,H$5,'United Games For'!AZ$5:AZ$22)</f>
        <v>62</v>
      </c>
      <c r="I54" s="16" t="n">
        <f aca="false">AVERAGEIF('United Games For'!$A$5:$A$22,I$5,'United Games For'!AZ$5:AZ$22)</f>
        <v>42</v>
      </c>
      <c r="J54" s="16" t="n">
        <f aca="false">AVERAGEIF('United Games For'!$A$5:$A$22,J$5,'United Games For'!AZ$5:AZ$22)</f>
        <v>25</v>
      </c>
      <c r="K54" s="16" t="n">
        <f aca="false">AVERAGEIF('United Games For'!$A$5:$A$22,K$5,'United Games For'!AZ$5:AZ$22)</f>
        <v>23</v>
      </c>
      <c r="L54" s="16" t="n">
        <f aca="false">AVERAGEIF('United Games For'!$A$5:$A$22,L$5,'United Games For'!AZ$5:AZ$22)</f>
        <v>44</v>
      </c>
      <c r="M54" s="16" t="n">
        <f aca="false">AVERAGEIF('United Games For'!$A$5:$A$22,M$5,'United Games For'!AZ$5:AZ$22)</f>
        <v>51.5</v>
      </c>
      <c r="N54" s="16" t="n">
        <f aca="false">AVERAGEIF('United Games For'!$A$5:$A$22,N$5,'United Games For'!AZ$5:AZ$22)</f>
        <v>57.5</v>
      </c>
      <c r="P54" s="16" t="n">
        <f aca="false">AVERAGEIF('United Games Against'!$A$5:$A$22,D$5,'United Games Against'!AZ$5:AZ$22)</f>
        <v>60</v>
      </c>
      <c r="Q54" s="16" t="n">
        <f aca="false">AVERAGEIF('United Games Against'!$A$5:$A$22,E$5,'United Games Against'!AZ$5:AZ$22)</f>
        <v>71.5</v>
      </c>
      <c r="R54" s="16" t="n">
        <f aca="false">AVERAGEIF('United Games Against'!$A$5:$A$22,F$5,'United Games Against'!AZ$5:AZ$22)</f>
        <v>38.5</v>
      </c>
      <c r="S54" s="16" t="n">
        <f aca="false">AVERAGEIF('United Games Against'!$A$5:$A$22,G$5,'United Games Against'!AZ$5:AZ$22)</f>
        <v>61</v>
      </c>
      <c r="T54" s="16" t="n">
        <f aca="false">AVERAGEIF('United Games Against'!$A$5:$A$22,H$5,'United Games Against'!AZ$5:AZ$22)</f>
        <v>51</v>
      </c>
      <c r="U54" s="16" t="n">
        <f aca="false">AVERAGEIF('United Games Against'!$A$5:$A$22,I$5,'United Games Against'!AZ$5:AZ$22)</f>
        <v>55</v>
      </c>
      <c r="V54" s="16" t="n">
        <f aca="false">AVERAGEIF('United Games Against'!$A$5:$A$22,J$5,'United Games Against'!AZ$5:AZ$22)</f>
        <v>52</v>
      </c>
      <c r="W54" s="16" t="n">
        <f aca="false">AVERAGEIF('United Games Against'!$A$5:$A$22,K$5,'United Games Against'!AZ$5:AZ$22)</f>
        <v>56</v>
      </c>
      <c r="X54" s="16" t="n">
        <f aca="false">AVERAGEIF('United Games Against'!$A$5:$A$22,L$5,'United Games Against'!AZ$5:AZ$22)</f>
        <v>56</v>
      </c>
      <c r="Y54" s="16" t="n">
        <f aca="false">AVERAGEIF('United Games Against'!$A$5:$A$22,M$5,'United Games Against'!AZ$5:AZ$22)</f>
        <v>40</v>
      </c>
      <c r="Z54" s="16" t="n">
        <f aca="false">AVERAGEIF('United Games Against'!$A$5:$A$22,N$5,'United Games Against'!AZ$5:AZ$22)</f>
        <v>47.5</v>
      </c>
      <c r="AB54" s="16" t="n">
        <f aca="false">D54-P54</f>
        <v>8</v>
      </c>
      <c r="AC54" s="16" t="n">
        <f aca="false">E54-Q54</f>
        <v>-28</v>
      </c>
      <c r="AD54" s="16" t="n">
        <f aca="false">F54-R54</f>
        <v>14.5</v>
      </c>
      <c r="AE54" s="16" t="n">
        <f aca="false">G54-S54</f>
        <v>-27</v>
      </c>
      <c r="AF54" s="16" t="n">
        <f aca="false">H54-T54</f>
        <v>11</v>
      </c>
      <c r="AG54" s="16" t="n">
        <f aca="false">I54-U54</f>
        <v>-13</v>
      </c>
      <c r="AH54" s="16" t="n">
        <f aca="false">J54-V54</f>
        <v>-27</v>
      </c>
      <c r="AI54" s="16" t="n">
        <f aca="false">K54-W54</f>
        <v>-33</v>
      </c>
      <c r="AJ54" s="16" t="n">
        <f aca="false">L54-X54</f>
        <v>-12</v>
      </c>
      <c r="AK54" s="16" t="n">
        <f aca="false">M54-Y54</f>
        <v>11.5</v>
      </c>
      <c r="AL54" s="16" t="n">
        <f aca="false">N54-Z54</f>
        <v>10</v>
      </c>
    </row>
    <row r="55" customFormat="false" ht="15" hidden="false" customHeight="false" outlineLevel="0" collapsed="false">
      <c r="A55" s="6" t="s">
        <v>57</v>
      </c>
      <c r="B55" s="7" t="s">
        <v>58</v>
      </c>
      <c r="C55" s="38" t="s">
        <v>179</v>
      </c>
      <c r="D55" s="16" t="n">
        <f aca="false">AVERAGEIF('United Games For'!$A$5:$A$22,D$5,'United Games For'!BA$5:BA$22)</f>
        <v>81</v>
      </c>
      <c r="E55" s="16" t="n">
        <f aca="false">AVERAGEIF('United Games For'!$A$5:$A$22,E$5,'United Games For'!BA$5:BA$22)</f>
        <v>65.5</v>
      </c>
      <c r="F55" s="16" t="n">
        <f aca="false">AVERAGEIF('United Games For'!$A$5:$A$22,F$5,'United Games For'!BA$5:BA$22)</f>
        <v>71</v>
      </c>
      <c r="G55" s="16" t="n">
        <f aca="false">AVERAGEIF('United Games For'!$A$5:$A$22,G$5,'United Games For'!BA$5:BA$22)</f>
        <v>69</v>
      </c>
      <c r="H55" s="16" t="n">
        <f aca="false">AVERAGEIF('United Games For'!$A$5:$A$22,H$5,'United Games For'!BA$5:BA$22)</f>
        <v>70.5</v>
      </c>
      <c r="I55" s="16" t="n">
        <f aca="false">AVERAGEIF('United Games For'!$A$5:$A$22,I$5,'United Games For'!BA$5:BA$22)</f>
        <v>66</v>
      </c>
      <c r="J55" s="16" t="n">
        <f aca="false">AVERAGEIF('United Games For'!$A$5:$A$22,J$5,'United Games For'!BA$5:BA$22)</f>
        <v>58</v>
      </c>
      <c r="K55" s="16" t="n">
        <f aca="false">AVERAGEIF('United Games For'!$A$5:$A$22,K$5,'United Games For'!BA$5:BA$22)</f>
        <v>67</v>
      </c>
      <c r="L55" s="16" t="n">
        <f aca="false">AVERAGEIF('United Games For'!$A$5:$A$22,L$5,'United Games For'!BA$5:BA$22)</f>
        <v>60</v>
      </c>
      <c r="M55" s="16" t="n">
        <f aca="false">AVERAGEIF('United Games For'!$A$5:$A$22,M$5,'United Games For'!BA$5:BA$22)</f>
        <v>67</v>
      </c>
      <c r="N55" s="16" t="n">
        <f aca="false">AVERAGEIF('United Games For'!$A$5:$A$22,N$5,'United Games For'!BA$5:BA$22)</f>
        <v>78.5</v>
      </c>
      <c r="P55" s="16" t="n">
        <f aca="false">AVERAGEIF('United Games Against'!$A$5:$A$22,D$5,'United Games Against'!BA$5:BA$22)</f>
        <v>66</v>
      </c>
      <c r="Q55" s="16" t="n">
        <f aca="false">AVERAGEIF('United Games Against'!$A$5:$A$22,E$5,'United Games Against'!BA$5:BA$22)</f>
        <v>70.5</v>
      </c>
      <c r="R55" s="16" t="n">
        <f aca="false">AVERAGEIF('United Games Against'!$A$5:$A$22,F$5,'United Games Against'!BA$5:BA$22)</f>
        <v>69</v>
      </c>
      <c r="S55" s="16" t="n">
        <f aca="false">AVERAGEIF('United Games Against'!$A$5:$A$22,G$5,'United Games Against'!BA$5:BA$22)</f>
        <v>68</v>
      </c>
      <c r="T55" s="16" t="n">
        <f aca="false">AVERAGEIF('United Games Against'!$A$5:$A$22,H$5,'United Games Against'!BA$5:BA$22)</f>
        <v>69</v>
      </c>
      <c r="U55" s="16" t="n">
        <f aca="false">AVERAGEIF('United Games Against'!$A$5:$A$22,I$5,'United Games Against'!BA$5:BA$22)</f>
        <v>62.5</v>
      </c>
      <c r="V55" s="16" t="n">
        <f aca="false">AVERAGEIF('United Games Against'!$A$5:$A$22,J$5,'United Games Against'!BA$5:BA$22)</f>
        <v>65</v>
      </c>
      <c r="W55" s="16" t="n">
        <f aca="false">AVERAGEIF('United Games Against'!$A$5:$A$22,K$5,'United Games Against'!BA$5:BA$22)</f>
        <v>63</v>
      </c>
      <c r="X55" s="16" t="n">
        <f aca="false">AVERAGEIF('United Games Against'!$A$5:$A$22,L$5,'United Games Against'!BA$5:BA$22)</f>
        <v>65</v>
      </c>
      <c r="Y55" s="16" t="n">
        <f aca="false">AVERAGEIF('United Games Against'!$A$5:$A$22,M$5,'United Games Against'!BA$5:BA$22)</f>
        <v>65</v>
      </c>
      <c r="Z55" s="16" t="n">
        <f aca="false">AVERAGEIF('United Games Against'!$A$5:$A$22,N$5,'United Games Against'!BA$5:BA$22)</f>
        <v>66.5</v>
      </c>
      <c r="AB55" s="16" t="n">
        <f aca="false">D55-P55</f>
        <v>15</v>
      </c>
      <c r="AC55" s="16" t="n">
        <f aca="false">E55-Q55</f>
        <v>-5</v>
      </c>
      <c r="AD55" s="16" t="n">
        <f aca="false">F55-R55</f>
        <v>2</v>
      </c>
      <c r="AE55" s="16" t="n">
        <f aca="false">G55-S55</f>
        <v>1</v>
      </c>
      <c r="AF55" s="16" t="n">
        <f aca="false">H55-T55</f>
        <v>1.5</v>
      </c>
      <c r="AG55" s="16" t="n">
        <f aca="false">I55-U55</f>
        <v>3.5</v>
      </c>
      <c r="AH55" s="16" t="n">
        <f aca="false">J55-V55</f>
        <v>-7</v>
      </c>
      <c r="AI55" s="16" t="n">
        <f aca="false">K55-W55</f>
        <v>4</v>
      </c>
      <c r="AJ55" s="16" t="n">
        <f aca="false">L55-X55</f>
        <v>-5</v>
      </c>
      <c r="AK55" s="16" t="n">
        <f aca="false">M55-Y55</f>
        <v>2</v>
      </c>
      <c r="AL55" s="16" t="n">
        <f aca="false">N55-Z55</f>
        <v>12</v>
      </c>
    </row>
    <row r="56" customFormat="false" ht="15" hidden="false" customHeight="false" outlineLevel="0" collapsed="false">
      <c r="A56" s="6" t="s">
        <v>99</v>
      </c>
      <c r="B56" s="7" t="s">
        <v>100</v>
      </c>
      <c r="C56" s="38" t="s">
        <v>179</v>
      </c>
      <c r="D56" s="16" t="n">
        <f aca="false">AVERAGEIF('United Games For'!$A$5:$A$22,D$5,'United Games For'!BB$5:BB$22)</f>
        <v>62</v>
      </c>
      <c r="E56" s="16" t="n">
        <f aca="false">AVERAGEIF('United Games For'!$A$5:$A$22,E$5,'United Games For'!BB$5:BB$22)</f>
        <v>45</v>
      </c>
      <c r="F56" s="16" t="n">
        <f aca="false">AVERAGEIF('United Games For'!$A$5:$A$22,F$5,'United Games For'!BB$5:BB$22)</f>
        <v>64.5</v>
      </c>
      <c r="G56" s="16" t="n">
        <f aca="false">AVERAGEIF('United Games For'!$A$5:$A$22,G$5,'United Games For'!BB$5:BB$22)</f>
        <v>48</v>
      </c>
      <c r="H56" s="16" t="n">
        <f aca="false">AVERAGEIF('United Games For'!$A$5:$A$22,H$5,'United Games For'!BB$5:BB$22)</f>
        <v>58</v>
      </c>
      <c r="I56" s="16" t="n">
        <f aca="false">AVERAGEIF('United Games For'!$A$5:$A$22,I$5,'United Games For'!BB$5:BB$22)</f>
        <v>42</v>
      </c>
      <c r="J56" s="16" t="n">
        <f aca="false">AVERAGEIF('United Games For'!$A$5:$A$22,J$5,'United Games For'!BB$5:BB$22)</f>
        <v>44</v>
      </c>
      <c r="K56" s="16" t="n">
        <f aca="false">AVERAGEIF('United Games For'!$A$5:$A$22,K$5,'United Games For'!BB$5:BB$22)</f>
        <v>59</v>
      </c>
      <c r="L56" s="16" t="n">
        <f aca="false">AVERAGEIF('United Games For'!$A$5:$A$22,L$5,'United Games For'!BB$5:BB$22)</f>
        <v>36.5</v>
      </c>
      <c r="M56" s="16" t="n">
        <f aca="false">AVERAGEIF('United Games For'!$A$5:$A$22,M$5,'United Games For'!BB$5:BB$22)</f>
        <v>53.5</v>
      </c>
      <c r="N56" s="16" t="n">
        <f aca="false">AVERAGEIF('United Games For'!$A$5:$A$22,N$5,'United Games For'!BB$5:BB$22)</f>
        <v>54</v>
      </c>
      <c r="P56" s="16" t="n">
        <f aca="false">AVERAGEIF('United Games Against'!$A$5:$A$22,D$5,'United Games Against'!BB$5:BB$22)</f>
        <v>47</v>
      </c>
      <c r="Q56" s="16" t="n">
        <f aca="false">AVERAGEIF('United Games Against'!$A$5:$A$22,E$5,'United Games Against'!BB$5:BB$22)</f>
        <v>58</v>
      </c>
      <c r="R56" s="16" t="n">
        <f aca="false">AVERAGEIF('United Games Against'!$A$5:$A$22,F$5,'United Games Against'!BB$5:BB$22)</f>
        <v>61.5</v>
      </c>
      <c r="S56" s="16" t="n">
        <f aca="false">AVERAGEIF('United Games Against'!$A$5:$A$22,G$5,'United Games Against'!BB$5:BB$22)</f>
        <v>43</v>
      </c>
      <c r="T56" s="16" t="n">
        <f aca="false">AVERAGEIF('United Games Against'!$A$5:$A$22,H$5,'United Games Against'!BB$5:BB$22)</f>
        <v>55.5</v>
      </c>
      <c r="U56" s="16" t="n">
        <f aca="false">AVERAGEIF('United Games Against'!$A$5:$A$22,I$5,'United Games Against'!BB$5:BB$22)</f>
        <v>34</v>
      </c>
      <c r="V56" s="16" t="n">
        <f aca="false">AVERAGEIF('United Games Against'!$A$5:$A$22,J$5,'United Games Against'!BB$5:BB$22)</f>
        <v>45</v>
      </c>
      <c r="W56" s="16" t="n">
        <f aca="false">AVERAGEIF('United Games Against'!$A$5:$A$22,K$5,'United Games Against'!BB$5:BB$22)</f>
        <v>35</v>
      </c>
      <c r="X56" s="16" t="n">
        <f aca="false">AVERAGEIF('United Games Against'!$A$5:$A$22,L$5,'United Games Against'!BB$5:BB$22)</f>
        <v>53</v>
      </c>
      <c r="Y56" s="16" t="n">
        <f aca="false">AVERAGEIF('United Games Against'!$A$5:$A$22,M$5,'United Games Against'!BB$5:BB$22)</f>
        <v>42</v>
      </c>
      <c r="Z56" s="16" t="n">
        <f aca="false">AVERAGEIF('United Games Against'!$A$5:$A$22,N$5,'United Games Against'!BB$5:BB$22)</f>
        <v>41.5</v>
      </c>
      <c r="AB56" s="16" t="n">
        <f aca="false">D56-P56</f>
        <v>15</v>
      </c>
      <c r="AC56" s="16" t="n">
        <f aca="false">E56-Q56</f>
        <v>-13</v>
      </c>
      <c r="AD56" s="16" t="n">
        <f aca="false">F56-R56</f>
        <v>3</v>
      </c>
      <c r="AE56" s="16" t="n">
        <f aca="false">G56-S56</f>
        <v>5</v>
      </c>
      <c r="AF56" s="16" t="n">
        <f aca="false">H56-T56</f>
        <v>2.5</v>
      </c>
      <c r="AG56" s="16" t="n">
        <f aca="false">I56-U56</f>
        <v>8</v>
      </c>
      <c r="AH56" s="16" t="n">
        <f aca="false">J56-V56</f>
        <v>-1</v>
      </c>
      <c r="AI56" s="16" t="n">
        <f aca="false">K56-W56</f>
        <v>24</v>
      </c>
      <c r="AJ56" s="16" t="n">
        <f aca="false">L56-X56</f>
        <v>-16.5</v>
      </c>
      <c r="AK56" s="16" t="n">
        <f aca="false">M56-Y56</f>
        <v>11.5</v>
      </c>
      <c r="AL56" s="16" t="n">
        <f aca="false">N56-Z56</f>
        <v>12.5</v>
      </c>
    </row>
    <row r="57" customFormat="false" ht="15" hidden="false" customHeight="false" outlineLevel="0" collapsed="false">
      <c r="A57" s="6" t="s">
        <v>107</v>
      </c>
      <c r="B57" s="7" t="s">
        <v>108</v>
      </c>
      <c r="C57" s="38" t="s">
        <v>179</v>
      </c>
      <c r="D57" s="16" t="n">
        <f aca="false">AVERAGEIF('United Games For'!$A$5:$A$22,D$5,'United Games For'!BC$5:BC$22)</f>
        <v>78</v>
      </c>
      <c r="E57" s="16" t="n">
        <f aca="false">AVERAGEIF('United Games For'!$A$5:$A$22,E$5,'United Games For'!BC$5:BC$22)</f>
        <v>59.5</v>
      </c>
      <c r="F57" s="16" t="n">
        <f aca="false">AVERAGEIF('United Games For'!$A$5:$A$22,F$5,'United Games For'!BC$5:BC$22)</f>
        <v>66</v>
      </c>
      <c r="G57" s="16" t="n">
        <f aca="false">AVERAGEIF('United Games For'!$A$5:$A$22,G$5,'United Games For'!BC$5:BC$22)</f>
        <v>64</v>
      </c>
      <c r="H57" s="16" t="n">
        <f aca="false">AVERAGEIF('United Games For'!$A$5:$A$22,H$5,'United Games For'!BC$5:BC$22)</f>
        <v>66.5</v>
      </c>
      <c r="I57" s="16" t="n">
        <f aca="false">AVERAGEIF('United Games For'!$A$5:$A$22,I$5,'United Games For'!BC$5:BC$22)</f>
        <v>60</v>
      </c>
      <c r="J57" s="16" t="n">
        <f aca="false">AVERAGEIF('United Games For'!$A$5:$A$22,J$5,'United Games For'!BC$5:BC$22)</f>
        <v>53</v>
      </c>
      <c r="K57" s="16" t="n">
        <f aca="false">AVERAGEIF('United Games For'!$A$5:$A$22,K$5,'United Games For'!BC$5:BC$22)</f>
        <v>67</v>
      </c>
      <c r="L57" s="16" t="n">
        <f aca="false">AVERAGEIF('United Games For'!$A$5:$A$22,L$5,'United Games For'!BC$5:BC$22)</f>
        <v>51</v>
      </c>
      <c r="M57" s="16" t="n">
        <f aca="false">AVERAGEIF('United Games For'!$A$5:$A$22,M$5,'United Games For'!BC$5:BC$22)</f>
        <v>64</v>
      </c>
      <c r="N57" s="16" t="n">
        <f aca="false">AVERAGEIF('United Games For'!$A$5:$A$22,N$5,'United Games For'!BC$5:BC$22)</f>
        <v>73.5</v>
      </c>
      <c r="P57" s="16" t="n">
        <f aca="false">AVERAGEIF('United Games Against'!$A$5:$A$22,D$5,'United Games Against'!BC$5:BC$22)</f>
        <v>59</v>
      </c>
      <c r="Q57" s="16" t="n">
        <f aca="false">AVERAGEIF('United Games Against'!$A$5:$A$22,E$5,'United Games Against'!BC$5:BC$22)</f>
        <v>65.5</v>
      </c>
      <c r="R57" s="16" t="n">
        <f aca="false">AVERAGEIF('United Games Against'!$A$5:$A$22,F$5,'United Games Against'!BC$5:BC$22)</f>
        <v>61.5</v>
      </c>
      <c r="S57" s="16" t="n">
        <f aca="false">AVERAGEIF('United Games Against'!$A$5:$A$22,G$5,'United Games Against'!BC$5:BC$22)</f>
        <v>65</v>
      </c>
      <c r="T57" s="16" t="n">
        <f aca="false">AVERAGEIF('United Games Against'!$A$5:$A$22,H$5,'United Games Against'!BC$5:BC$22)</f>
        <v>60.5</v>
      </c>
      <c r="U57" s="16" t="n">
        <f aca="false">AVERAGEIF('United Games Against'!$A$5:$A$22,I$5,'United Games Against'!BC$5:BC$22)</f>
        <v>51.5</v>
      </c>
      <c r="V57" s="16" t="n">
        <f aca="false">AVERAGEIF('United Games Against'!$A$5:$A$22,J$5,'United Games Against'!BC$5:BC$22)</f>
        <v>59</v>
      </c>
      <c r="W57" s="16" t="n">
        <f aca="false">AVERAGEIF('United Games Against'!$A$5:$A$22,K$5,'United Games Against'!BC$5:BC$22)</f>
        <v>53</v>
      </c>
      <c r="X57" s="16" t="n">
        <f aca="false">AVERAGEIF('United Games Against'!$A$5:$A$22,L$5,'United Games Against'!BC$5:BC$22)</f>
        <v>60.5</v>
      </c>
      <c r="Y57" s="16" t="n">
        <f aca="false">AVERAGEIF('United Games Against'!$A$5:$A$22,M$5,'United Games Against'!BC$5:BC$22)</f>
        <v>59.5</v>
      </c>
      <c r="Z57" s="16" t="n">
        <f aca="false">AVERAGEIF('United Games Against'!$A$5:$A$22,N$5,'United Games Against'!BC$5:BC$22)</f>
        <v>59</v>
      </c>
      <c r="AB57" s="16" t="n">
        <f aca="false">D57-P57</f>
        <v>19</v>
      </c>
      <c r="AC57" s="16" t="n">
        <f aca="false">E57-Q57</f>
        <v>-6</v>
      </c>
      <c r="AD57" s="16" t="n">
        <f aca="false">F57-R57</f>
        <v>4.5</v>
      </c>
      <c r="AE57" s="16" t="n">
        <f aca="false">G57-S57</f>
        <v>-1</v>
      </c>
      <c r="AF57" s="16" t="n">
        <f aca="false">H57-T57</f>
        <v>6</v>
      </c>
      <c r="AG57" s="16" t="n">
        <f aca="false">I57-U57</f>
        <v>8.5</v>
      </c>
      <c r="AH57" s="16" t="n">
        <f aca="false">J57-V57</f>
        <v>-6</v>
      </c>
      <c r="AI57" s="16" t="n">
        <f aca="false">K57-W57</f>
        <v>14</v>
      </c>
      <c r="AJ57" s="16" t="n">
        <f aca="false">L57-X57</f>
        <v>-9.5</v>
      </c>
      <c r="AK57" s="16" t="n">
        <f aca="false">M57-Y57</f>
        <v>4.5</v>
      </c>
      <c r="AL57" s="16" t="n">
        <f aca="false">N57-Z57</f>
        <v>14.5</v>
      </c>
    </row>
    <row r="58" customFormat="false" ht="15" hidden="false" customHeight="false" outlineLevel="0" collapsed="false">
      <c r="A58" s="6" t="s">
        <v>83</v>
      </c>
      <c r="B58" s="7" t="s">
        <v>84</v>
      </c>
      <c r="C58" s="38" t="s">
        <v>179</v>
      </c>
      <c r="D58" s="16" t="n">
        <f aca="false">AVERAGEIF('United Games For'!$A$5:$A$22,D$5,'United Games For'!BD$5:BD$22)</f>
        <v>85</v>
      </c>
      <c r="E58" s="16" t="n">
        <f aca="false">AVERAGEIF('United Games For'!$A$5:$A$22,E$5,'United Games For'!BD$5:BD$22)</f>
        <v>76.5</v>
      </c>
      <c r="F58" s="16" t="n">
        <f aca="false">AVERAGEIF('United Games For'!$A$5:$A$22,F$5,'United Games For'!BD$5:BD$22)</f>
        <v>80</v>
      </c>
      <c r="G58" s="16" t="n">
        <f aca="false">AVERAGEIF('United Games For'!$A$5:$A$22,G$5,'United Games For'!BD$5:BD$22)</f>
        <v>77</v>
      </c>
      <c r="H58" s="16" t="n">
        <f aca="false">AVERAGEIF('United Games For'!$A$5:$A$22,H$5,'United Games For'!BD$5:BD$22)</f>
        <v>77</v>
      </c>
      <c r="I58" s="16" t="n">
        <f aca="false">AVERAGEIF('United Games For'!$A$5:$A$22,I$5,'United Games For'!BD$5:BD$22)</f>
        <v>73.5</v>
      </c>
      <c r="J58" s="16" t="n">
        <f aca="false">AVERAGEIF('United Games For'!$A$5:$A$22,J$5,'United Games For'!BD$5:BD$22)</f>
        <v>68</v>
      </c>
      <c r="K58" s="16" t="n">
        <f aca="false">AVERAGEIF('United Games For'!$A$5:$A$22,K$5,'United Games For'!BD$5:BD$22)</f>
        <v>67</v>
      </c>
      <c r="L58" s="16" t="n">
        <f aca="false">AVERAGEIF('United Games For'!$A$5:$A$22,L$5,'United Games For'!BD$5:BD$22)</f>
        <v>73.5</v>
      </c>
      <c r="M58" s="16" t="n">
        <f aca="false">AVERAGEIF('United Games For'!$A$5:$A$22,M$5,'United Games For'!BD$5:BD$22)</f>
        <v>72</v>
      </c>
      <c r="N58" s="16" t="n">
        <f aca="false">AVERAGEIF('United Games For'!$A$5:$A$22,N$5,'United Games For'!BD$5:BD$22)</f>
        <v>87</v>
      </c>
      <c r="P58" s="16" t="n">
        <f aca="false">AVERAGEIF('United Games Against'!$A$5:$A$22,D$5,'United Games Against'!BD$5:BD$22)</f>
        <v>74</v>
      </c>
      <c r="Q58" s="16" t="n">
        <f aca="false">AVERAGEIF('United Games Against'!$A$5:$A$22,E$5,'United Games Against'!BD$5:BD$22)</f>
        <v>79</v>
      </c>
      <c r="R58" s="16" t="n">
        <f aca="false">AVERAGEIF('United Games Against'!$A$5:$A$22,F$5,'United Games Against'!BD$5:BD$22)</f>
        <v>79</v>
      </c>
      <c r="S58" s="16" t="n">
        <f aca="false">AVERAGEIF('United Games Against'!$A$5:$A$22,G$5,'United Games Against'!BD$5:BD$22)</f>
        <v>75</v>
      </c>
      <c r="T58" s="16" t="n">
        <f aca="false">AVERAGEIF('United Games Against'!$A$5:$A$22,H$5,'United Games Against'!BD$5:BD$22)</f>
        <v>82</v>
      </c>
      <c r="U58" s="16" t="n">
        <f aca="false">AVERAGEIF('United Games Against'!$A$5:$A$22,I$5,'United Games Against'!BD$5:BD$22)</f>
        <v>79</v>
      </c>
      <c r="V58" s="16" t="n">
        <f aca="false">AVERAGEIF('United Games Against'!$A$5:$A$22,J$5,'United Games Against'!BD$5:BD$22)</f>
        <v>75</v>
      </c>
      <c r="W58" s="16" t="n">
        <f aca="false">AVERAGEIF('United Games Against'!$A$5:$A$22,K$5,'United Games Against'!BD$5:BD$22)</f>
        <v>78</v>
      </c>
      <c r="X58" s="16" t="n">
        <f aca="false">AVERAGEIF('United Games Against'!$A$5:$A$22,L$5,'United Games Against'!BD$5:BD$22)</f>
        <v>72</v>
      </c>
      <c r="Y58" s="16" t="n">
        <f aca="false">AVERAGEIF('United Games Against'!$A$5:$A$22,M$5,'United Games Against'!BD$5:BD$22)</f>
        <v>74</v>
      </c>
      <c r="Z58" s="16" t="n">
        <f aca="false">AVERAGEIF('United Games Against'!$A$5:$A$22,N$5,'United Games Against'!BD$5:BD$22)</f>
        <v>80</v>
      </c>
      <c r="AB58" s="16" t="n">
        <f aca="false">D58-P58</f>
        <v>11</v>
      </c>
      <c r="AC58" s="16" t="n">
        <f aca="false">E58-Q58</f>
        <v>-2.5</v>
      </c>
      <c r="AD58" s="16" t="n">
        <f aca="false">F58-R58</f>
        <v>1</v>
      </c>
      <c r="AE58" s="16" t="n">
        <f aca="false">G58-S58</f>
        <v>2</v>
      </c>
      <c r="AF58" s="16" t="n">
        <f aca="false">H58-T58</f>
        <v>-5</v>
      </c>
      <c r="AG58" s="16" t="n">
        <f aca="false">I58-U58</f>
        <v>-5.5</v>
      </c>
      <c r="AH58" s="16" t="n">
        <f aca="false">J58-V58</f>
        <v>-7</v>
      </c>
      <c r="AI58" s="16" t="n">
        <f aca="false">K58-W58</f>
        <v>-11</v>
      </c>
      <c r="AJ58" s="16" t="n">
        <f aca="false">L58-X58</f>
        <v>1.5</v>
      </c>
      <c r="AK58" s="16" t="n">
        <f aca="false">M58-Y58</f>
        <v>-2</v>
      </c>
      <c r="AL58" s="16" t="n">
        <f aca="false">N58-Z58</f>
        <v>7</v>
      </c>
    </row>
    <row r="59" customFormat="false" ht="15" hidden="false" customHeight="false" outlineLevel="0" collapsed="false">
      <c r="A59" s="6" t="s">
        <v>43</v>
      </c>
      <c r="B59" s="7" t="s">
        <v>44</v>
      </c>
      <c r="C59" s="38" t="s">
        <v>179</v>
      </c>
      <c r="D59" s="16" t="n">
        <f aca="false">AVERAGEIF('United Games For'!$A$5:$A$22,D$5,'United Games For'!BE$5:BE$22)</f>
        <v>74</v>
      </c>
      <c r="E59" s="16" t="n">
        <f aca="false">AVERAGEIF('United Games For'!$A$5:$A$22,E$5,'United Games For'!BE$5:BE$22)</f>
        <v>57.5</v>
      </c>
      <c r="F59" s="16" t="n">
        <f aca="false">AVERAGEIF('United Games For'!$A$5:$A$22,F$5,'United Games For'!BE$5:BE$22)</f>
        <v>59.5</v>
      </c>
      <c r="G59" s="16" t="n">
        <f aca="false">AVERAGEIF('United Games For'!$A$5:$A$22,G$5,'United Games For'!BE$5:BE$22)</f>
        <v>60</v>
      </c>
      <c r="H59" s="16" t="n">
        <f aca="false">AVERAGEIF('United Games For'!$A$5:$A$22,H$5,'United Games For'!BE$5:BE$22)</f>
        <v>64.5</v>
      </c>
      <c r="I59" s="16" t="n">
        <f aca="false">AVERAGEIF('United Games For'!$A$5:$A$22,I$5,'United Games For'!BE$5:BE$22)</f>
        <v>49.5</v>
      </c>
      <c r="J59" s="16" t="n">
        <f aca="false">AVERAGEIF('United Games For'!$A$5:$A$22,J$5,'United Games For'!BE$5:BE$22)</f>
        <v>45</v>
      </c>
      <c r="K59" s="16" t="n">
        <f aca="false">AVERAGEIF('United Games For'!$A$5:$A$22,K$5,'United Games For'!BE$5:BE$22)</f>
        <v>74</v>
      </c>
      <c r="L59" s="16" t="n">
        <f aca="false">AVERAGEIF('United Games For'!$A$5:$A$22,L$5,'United Games For'!BE$5:BE$22)</f>
        <v>58.5</v>
      </c>
      <c r="M59" s="16" t="n">
        <f aca="false">AVERAGEIF('United Games For'!$A$5:$A$22,M$5,'United Games For'!BE$5:BE$22)</f>
        <v>55.5</v>
      </c>
      <c r="N59" s="16" t="n">
        <f aca="false">AVERAGEIF('United Games For'!$A$5:$A$22,N$5,'United Games For'!BE$5:BE$22)</f>
        <v>81</v>
      </c>
      <c r="P59" s="16" t="n">
        <f aca="false">AVERAGEIF('United Games Against'!$A$5:$A$22,D$5,'United Games Against'!BE$5:BE$22)</f>
        <v>53</v>
      </c>
      <c r="Q59" s="16" t="n">
        <f aca="false">AVERAGEIF('United Games Against'!$A$5:$A$22,E$5,'United Games Against'!BE$5:BE$22)</f>
        <v>66.5</v>
      </c>
      <c r="R59" s="16" t="n">
        <f aca="false">AVERAGEIF('United Games Against'!$A$5:$A$22,F$5,'United Games Against'!BE$5:BE$22)</f>
        <v>65.5</v>
      </c>
      <c r="S59" s="16" t="n">
        <f aca="false">AVERAGEIF('United Games Against'!$A$5:$A$22,G$5,'United Games Against'!BE$5:BE$22)</f>
        <v>68</v>
      </c>
      <c r="T59" s="16" t="n">
        <f aca="false">AVERAGEIF('United Games Against'!$A$5:$A$22,H$5,'United Games Against'!BE$5:BE$22)</f>
        <v>62</v>
      </c>
      <c r="U59" s="16" t="n">
        <f aca="false">AVERAGEIF('United Games Against'!$A$5:$A$22,I$5,'United Games Against'!BE$5:BE$22)</f>
        <v>55</v>
      </c>
      <c r="V59" s="16" t="n">
        <f aca="false">AVERAGEIF('United Games Against'!$A$5:$A$22,J$5,'United Games Against'!BE$5:BE$22)</f>
        <v>46</v>
      </c>
      <c r="W59" s="16" t="n">
        <f aca="false">AVERAGEIF('United Games Against'!$A$5:$A$22,K$5,'United Games Against'!BE$5:BE$22)</f>
        <v>47</v>
      </c>
      <c r="X59" s="16" t="n">
        <f aca="false">AVERAGEIF('United Games Against'!$A$5:$A$22,L$5,'United Games Against'!BE$5:BE$22)</f>
        <v>61</v>
      </c>
      <c r="Y59" s="16" t="n">
        <f aca="false">AVERAGEIF('United Games Against'!$A$5:$A$22,M$5,'United Games Against'!BE$5:BE$22)</f>
        <v>58</v>
      </c>
      <c r="Z59" s="16" t="n">
        <f aca="false">AVERAGEIF('United Games Against'!$A$5:$A$22,N$5,'United Games Against'!BE$5:BE$22)</f>
        <v>49.5</v>
      </c>
      <c r="AB59" s="16" t="n">
        <f aca="false">D59-P59</f>
        <v>21</v>
      </c>
      <c r="AC59" s="16" t="n">
        <f aca="false">E59-Q59</f>
        <v>-9</v>
      </c>
      <c r="AD59" s="16" t="n">
        <f aca="false">F59-R59</f>
        <v>-6</v>
      </c>
      <c r="AE59" s="16" t="n">
        <f aca="false">G59-S59</f>
        <v>-8</v>
      </c>
      <c r="AF59" s="16" t="n">
        <f aca="false">H59-T59</f>
        <v>2.5</v>
      </c>
      <c r="AG59" s="16" t="n">
        <f aca="false">I59-U59</f>
        <v>-5.5</v>
      </c>
      <c r="AH59" s="16" t="n">
        <f aca="false">J59-V59</f>
        <v>-1</v>
      </c>
      <c r="AI59" s="16" t="n">
        <f aca="false">K59-W59</f>
        <v>27</v>
      </c>
      <c r="AJ59" s="16" t="n">
        <f aca="false">L59-X59</f>
        <v>-2.5</v>
      </c>
      <c r="AK59" s="16" t="n">
        <f aca="false">M59-Y59</f>
        <v>-2.5</v>
      </c>
      <c r="AL59" s="16" t="n">
        <f aca="false">N59-Z59</f>
        <v>31.5</v>
      </c>
    </row>
    <row r="60" customFormat="false" ht="15" hidden="false" customHeight="false" outlineLevel="0" collapsed="false">
      <c r="A60" s="6" t="s">
        <v>135</v>
      </c>
      <c r="B60" s="7" t="s">
        <v>136</v>
      </c>
      <c r="C60" s="38" t="s">
        <v>179</v>
      </c>
      <c r="D60" s="16" t="n">
        <f aca="false">AVERAGEIF('United Games For'!$A$5:$A$22,D$5,'United Games For'!BF$5:BF$22)</f>
        <v>92</v>
      </c>
      <c r="E60" s="16" t="n">
        <f aca="false">AVERAGEIF('United Games For'!$A$5:$A$22,E$5,'United Games For'!BF$5:BF$22)</f>
        <v>52</v>
      </c>
      <c r="F60" s="16" t="n">
        <f aca="false">AVERAGEIF('United Games For'!$A$5:$A$22,F$5,'United Games For'!BF$5:BF$22)</f>
        <v>77</v>
      </c>
      <c r="G60" s="16" t="n">
        <f aca="false">AVERAGEIF('United Games For'!$A$5:$A$22,G$5,'United Games For'!BF$5:BF$22)</f>
        <v>70</v>
      </c>
      <c r="H60" s="16" t="n">
        <f aca="false">AVERAGEIF('United Games For'!$A$5:$A$22,H$5,'United Games For'!BF$5:BF$22)</f>
        <v>60.5</v>
      </c>
      <c r="I60" s="16" t="n">
        <f aca="false">AVERAGEIF('United Games For'!$A$5:$A$22,I$5,'United Games For'!BF$5:BF$22)</f>
        <v>56</v>
      </c>
      <c r="J60" s="16" t="n">
        <f aca="false">AVERAGEIF('United Games For'!$A$5:$A$22,J$5,'United Games For'!BF$5:BF$22)</f>
        <v>56</v>
      </c>
      <c r="K60" s="16" t="n">
        <f aca="false">AVERAGEIF('United Games For'!$A$5:$A$22,K$5,'United Games For'!BF$5:BF$22)</f>
        <v>64</v>
      </c>
      <c r="L60" s="16" t="n">
        <f aca="false">AVERAGEIF('United Games For'!$A$5:$A$22,L$5,'United Games For'!BF$5:BF$22)</f>
        <v>60</v>
      </c>
      <c r="M60" s="16" t="n">
        <f aca="false">AVERAGEIF('United Games For'!$A$5:$A$22,M$5,'United Games For'!BF$5:BF$22)</f>
        <v>67.5</v>
      </c>
      <c r="N60" s="16" t="n">
        <f aca="false">AVERAGEIF('United Games For'!$A$5:$A$22,N$5,'United Games For'!BF$5:BF$22)</f>
        <v>79.5</v>
      </c>
      <c r="P60" s="16" t="n">
        <f aca="false">AVERAGEIF('United Games Against'!$A$5:$A$22,D$5,'United Games Against'!BF$5:BF$22)</f>
        <v>64</v>
      </c>
      <c r="Q60" s="16" t="n">
        <f aca="false">AVERAGEIF('United Games Against'!$A$5:$A$22,E$5,'United Games Against'!BF$5:BF$22)</f>
        <v>60</v>
      </c>
      <c r="R60" s="16" t="n">
        <f aca="false">AVERAGEIF('United Games Against'!$A$5:$A$22,F$5,'United Games Against'!BF$5:BF$22)</f>
        <v>61.5</v>
      </c>
      <c r="S60" s="16" t="n">
        <f aca="false">AVERAGEIF('United Games Against'!$A$5:$A$22,G$5,'United Games Against'!BF$5:BF$22)</f>
        <v>66</v>
      </c>
      <c r="T60" s="16" t="n">
        <f aca="false">AVERAGEIF('United Games Against'!$A$5:$A$22,H$5,'United Games Against'!BF$5:BF$22)</f>
        <v>59</v>
      </c>
      <c r="U60" s="16" t="n">
        <f aca="false">AVERAGEIF('United Games Against'!$A$5:$A$22,I$5,'United Games Against'!BF$5:BF$22)</f>
        <v>45.5</v>
      </c>
      <c r="V60" s="16" t="n">
        <f aca="false">AVERAGEIF('United Games Against'!$A$5:$A$22,J$5,'United Games Against'!BF$5:BF$22)</f>
        <v>74</v>
      </c>
      <c r="W60" s="16" t="n">
        <f aca="false">AVERAGEIF('United Games Against'!$A$5:$A$22,K$5,'United Games Against'!BF$5:BF$22)</f>
        <v>38</v>
      </c>
      <c r="X60" s="16" t="n">
        <f aca="false">AVERAGEIF('United Games Against'!$A$5:$A$22,L$5,'United Games Against'!BF$5:BF$22)</f>
        <v>59</v>
      </c>
      <c r="Y60" s="16" t="n">
        <f aca="false">AVERAGEIF('United Games Against'!$A$5:$A$22,M$5,'United Games Against'!BF$5:BF$22)</f>
        <v>55.5</v>
      </c>
      <c r="Z60" s="16" t="n">
        <f aca="false">AVERAGEIF('United Games Against'!$A$5:$A$22,N$5,'United Games Against'!BF$5:BF$22)</f>
        <v>62</v>
      </c>
      <c r="AB60" s="16" t="n">
        <f aca="false">D60-P60</f>
        <v>28</v>
      </c>
      <c r="AC60" s="16" t="n">
        <f aca="false">E60-Q60</f>
        <v>-8</v>
      </c>
      <c r="AD60" s="16" t="n">
        <f aca="false">F60-R60</f>
        <v>15.5</v>
      </c>
      <c r="AE60" s="16" t="n">
        <f aca="false">G60-S60</f>
        <v>4</v>
      </c>
      <c r="AF60" s="16" t="n">
        <f aca="false">H60-T60</f>
        <v>1.5</v>
      </c>
      <c r="AG60" s="16" t="n">
        <f aca="false">I60-U60</f>
        <v>10.5</v>
      </c>
      <c r="AH60" s="16" t="n">
        <f aca="false">J60-V60</f>
        <v>-18</v>
      </c>
      <c r="AI60" s="16" t="n">
        <f aca="false">K60-W60</f>
        <v>26</v>
      </c>
      <c r="AJ60" s="16" t="n">
        <f aca="false">L60-X60</f>
        <v>1</v>
      </c>
      <c r="AK60" s="16" t="n">
        <f aca="false">M60-Y60</f>
        <v>12</v>
      </c>
      <c r="AL60" s="16" t="n">
        <f aca="false">N60-Z60</f>
        <v>17.5</v>
      </c>
    </row>
    <row r="61" customFormat="false" ht="15" hidden="false" customHeight="false" outlineLevel="0" collapsed="false">
      <c r="A61" s="6" t="s">
        <v>113</v>
      </c>
      <c r="B61" s="7" t="s">
        <v>114</v>
      </c>
      <c r="C61" s="38" t="s">
        <v>179</v>
      </c>
      <c r="D61" s="16" t="n">
        <f aca="false">AVERAGEIF('United Games For'!$A$5:$A$22,D$5,'United Games For'!BG$5:BG$22)</f>
        <v>100</v>
      </c>
      <c r="E61" s="16" t="n">
        <f aca="false">AVERAGEIF('United Games For'!$A$5:$A$22,E$5,'United Games For'!BG$5:BG$22)</f>
        <v>80</v>
      </c>
      <c r="F61" s="16" t="n">
        <f aca="false">AVERAGEIF('United Games For'!$A$5:$A$22,F$5,'United Games For'!BG$5:BG$22)</f>
        <v>86.5</v>
      </c>
      <c r="G61" s="16" t="n">
        <f aca="false">AVERAGEIF('United Games For'!$A$5:$A$22,G$5,'United Games For'!BG$5:BG$22)</f>
        <v>86</v>
      </c>
      <c r="H61" s="16" t="n">
        <f aca="false">AVERAGEIF('United Games For'!$A$5:$A$22,H$5,'United Games For'!BG$5:BG$22)</f>
        <v>89.5</v>
      </c>
      <c r="I61" s="16" t="n">
        <f aca="false">AVERAGEIF('United Games For'!$A$5:$A$22,I$5,'United Games For'!BG$5:BG$22)</f>
        <v>83.5</v>
      </c>
      <c r="J61" s="16" t="n">
        <f aca="false">AVERAGEIF('United Games For'!$A$5:$A$22,J$5,'United Games For'!BG$5:BG$22)</f>
        <v>60</v>
      </c>
      <c r="K61" s="16" t="n">
        <f aca="false">AVERAGEIF('United Games For'!$A$5:$A$22,K$5,'United Games For'!BG$5:BG$22)</f>
        <v>86</v>
      </c>
      <c r="L61" s="16" t="n">
        <f aca="false">AVERAGEIF('United Games For'!$A$5:$A$22,L$5,'United Games For'!BG$5:BG$22)</f>
        <v>72.5</v>
      </c>
      <c r="M61" s="16" t="n">
        <f aca="false">AVERAGEIF('United Games For'!$A$5:$A$22,M$5,'United Games For'!BG$5:BG$22)</f>
        <v>81</v>
      </c>
      <c r="N61" s="16" t="n">
        <f aca="false">AVERAGEIF('United Games For'!$A$5:$A$22,N$5,'United Games For'!BG$5:BG$22)</f>
        <v>91.5</v>
      </c>
      <c r="P61" s="16" t="n">
        <f aca="false">AVERAGEIF('United Games Against'!$A$5:$A$22,D$5,'United Games Against'!BG$5:BG$22)</f>
        <v>60</v>
      </c>
      <c r="Q61" s="16" t="n">
        <f aca="false">AVERAGEIF('United Games Against'!$A$5:$A$22,E$5,'United Games Against'!BG$5:BG$22)</f>
        <v>74</v>
      </c>
      <c r="R61" s="16" t="n">
        <f aca="false">AVERAGEIF('United Games Against'!$A$5:$A$22,F$5,'United Games Against'!BG$5:BG$22)</f>
        <v>67.5</v>
      </c>
      <c r="S61" s="16" t="n">
        <f aca="false">AVERAGEIF('United Games Against'!$A$5:$A$22,G$5,'United Games Against'!BG$5:BG$22)</f>
        <v>74</v>
      </c>
      <c r="T61" s="16" t="n">
        <f aca="false">AVERAGEIF('United Games Against'!$A$5:$A$22,H$5,'United Games Against'!BG$5:BG$22)</f>
        <v>84.5</v>
      </c>
      <c r="U61" s="16" t="n">
        <f aca="false">AVERAGEIF('United Games Against'!$A$5:$A$22,I$5,'United Games Against'!BG$5:BG$22)</f>
        <v>63.5</v>
      </c>
      <c r="V61" s="16" t="n">
        <f aca="false">AVERAGEIF('United Games Against'!$A$5:$A$22,J$5,'United Games Against'!BG$5:BG$22)</f>
        <v>100</v>
      </c>
      <c r="W61" s="16" t="n">
        <f aca="false">AVERAGEIF('United Games Against'!$A$5:$A$22,K$5,'United Games Against'!BG$5:BG$22)</f>
        <v>73</v>
      </c>
      <c r="X61" s="16" t="n">
        <f aca="false">AVERAGEIF('United Games Against'!$A$5:$A$22,L$5,'United Games Against'!BG$5:BG$22)</f>
        <v>80.5</v>
      </c>
      <c r="Y61" s="16" t="n">
        <f aca="false">AVERAGEIF('United Games Against'!$A$5:$A$22,M$5,'United Games Against'!BG$5:BG$22)</f>
        <v>91.5</v>
      </c>
      <c r="Z61" s="16" t="n">
        <f aca="false">AVERAGEIF('United Games Against'!$A$5:$A$22,N$5,'United Games Against'!BG$5:BG$22)</f>
        <v>67</v>
      </c>
      <c r="AB61" s="16" t="n">
        <f aca="false">D61-P61</f>
        <v>40</v>
      </c>
      <c r="AC61" s="16" t="n">
        <f aca="false">E61-Q61</f>
        <v>6</v>
      </c>
      <c r="AD61" s="16" t="n">
        <f aca="false">F61-R61</f>
        <v>19</v>
      </c>
      <c r="AE61" s="16" t="n">
        <f aca="false">G61-S61</f>
        <v>12</v>
      </c>
      <c r="AF61" s="16" t="n">
        <f aca="false">H61-T61</f>
        <v>5</v>
      </c>
      <c r="AG61" s="16" t="n">
        <f aca="false">I61-U61</f>
        <v>20</v>
      </c>
      <c r="AH61" s="16" t="n">
        <f aca="false">J61-V61</f>
        <v>-40</v>
      </c>
      <c r="AI61" s="16" t="n">
        <f aca="false">K61-W61</f>
        <v>13</v>
      </c>
      <c r="AJ61" s="16" t="n">
        <f aca="false">L61-X61</f>
        <v>-8</v>
      </c>
      <c r="AK61" s="16" t="n">
        <f aca="false">M61-Y61</f>
        <v>-10.5</v>
      </c>
      <c r="AL61" s="16" t="n">
        <f aca="false">N61-Z61</f>
        <v>24.5</v>
      </c>
    </row>
    <row r="62" customFormat="false" ht="15" hidden="false" customHeight="false" outlineLevel="0" collapsed="false">
      <c r="A62" s="6" t="s">
        <v>109</v>
      </c>
      <c r="B62" s="7" t="s">
        <v>110</v>
      </c>
      <c r="C62" s="38" t="s">
        <v>179</v>
      </c>
      <c r="D62" s="16" t="n">
        <f aca="false">AVERAGEIF('United Games For'!$A$5:$A$22,D$5,'United Games For'!BH$5:BH$22)</f>
        <v>205</v>
      </c>
      <c r="E62" s="16" t="n">
        <f aca="false">AVERAGEIF('United Games For'!$A$5:$A$22,E$5,'United Games For'!BH$5:BH$22)</f>
        <v>124.5</v>
      </c>
      <c r="F62" s="16" t="n">
        <f aca="false">AVERAGEIF('United Games For'!$A$5:$A$22,F$5,'United Games For'!BH$5:BH$22)</f>
        <v>142</v>
      </c>
      <c r="G62" s="16" t="n">
        <f aca="false">AVERAGEIF('United Games For'!$A$5:$A$22,G$5,'United Games For'!BH$5:BH$22)</f>
        <v>140</v>
      </c>
      <c r="H62" s="16" t="n">
        <f aca="false">AVERAGEIF('United Games For'!$A$5:$A$22,H$5,'United Games For'!BH$5:BH$22)</f>
        <v>153</v>
      </c>
      <c r="I62" s="16" t="n">
        <f aca="false">AVERAGEIF('United Games For'!$A$5:$A$22,I$5,'United Games For'!BH$5:BH$22)</f>
        <v>124</v>
      </c>
      <c r="J62" s="16" t="n">
        <f aca="false">AVERAGEIF('United Games For'!$A$5:$A$22,J$5,'United Games For'!BH$5:BH$22)</f>
        <v>117</v>
      </c>
      <c r="K62" s="16" t="n">
        <f aca="false">AVERAGEIF('United Games For'!$A$5:$A$22,K$5,'United Games For'!BH$5:BH$22)</f>
        <v>150</v>
      </c>
      <c r="L62" s="16" t="n">
        <f aca="false">AVERAGEIF('United Games For'!$A$5:$A$22,L$5,'United Games For'!BH$5:BH$22)</f>
        <v>93</v>
      </c>
      <c r="M62" s="16" t="n">
        <f aca="false">AVERAGEIF('United Games For'!$A$5:$A$22,M$5,'United Games For'!BH$5:BH$22)</f>
        <v>148.5</v>
      </c>
      <c r="N62" s="16" t="n">
        <f aca="false">AVERAGEIF('United Games For'!$A$5:$A$22,N$5,'United Games For'!BH$5:BH$22)</f>
        <v>208</v>
      </c>
      <c r="P62" s="16" t="n">
        <f aca="false">AVERAGEIF('United Games Against'!$A$5:$A$22,D$5,'United Games Against'!BH$5:BH$22)</f>
        <v>90</v>
      </c>
      <c r="Q62" s="16" t="n">
        <f aca="false">AVERAGEIF('United Games Against'!$A$5:$A$22,E$5,'United Games Against'!BH$5:BH$22)</f>
        <v>147</v>
      </c>
      <c r="R62" s="16" t="n">
        <f aca="false">AVERAGEIF('United Games Against'!$A$5:$A$22,F$5,'United Games Against'!BH$5:BH$22)</f>
        <v>109</v>
      </c>
      <c r="S62" s="16" t="n">
        <f aca="false">AVERAGEIF('United Games Against'!$A$5:$A$22,G$5,'United Games Against'!BH$5:BH$22)</f>
        <v>151</v>
      </c>
      <c r="T62" s="16" t="n">
        <f aca="false">AVERAGEIF('United Games Against'!$A$5:$A$22,H$5,'United Games Against'!BH$5:BH$22)</f>
        <v>113.5</v>
      </c>
      <c r="U62" s="16" t="n">
        <f aca="false">AVERAGEIF('United Games Against'!$A$5:$A$22,I$5,'United Games Against'!BH$5:BH$22)</f>
        <v>102</v>
      </c>
      <c r="V62" s="16" t="n">
        <f aca="false">AVERAGEIF('United Games Against'!$A$5:$A$22,J$5,'United Games Against'!BH$5:BH$22)</f>
        <v>124</v>
      </c>
      <c r="W62" s="16" t="n">
        <f aca="false">AVERAGEIF('United Games Against'!$A$5:$A$22,K$5,'United Games Against'!BH$5:BH$22)</f>
        <v>91</v>
      </c>
      <c r="X62" s="16" t="n">
        <f aca="false">AVERAGEIF('United Games Against'!$A$5:$A$22,L$5,'United Games Against'!BH$5:BH$22)</f>
        <v>125.5</v>
      </c>
      <c r="Y62" s="16" t="n">
        <f aca="false">AVERAGEIF('United Games Against'!$A$5:$A$22,M$5,'United Games Against'!BH$5:BH$22)</f>
        <v>134</v>
      </c>
      <c r="Z62" s="16" t="n">
        <f aca="false">AVERAGEIF('United Games Against'!$A$5:$A$22,N$5,'United Games Against'!BH$5:BH$22)</f>
        <v>113.5</v>
      </c>
      <c r="AB62" s="16" t="n">
        <f aca="false">D62-P62</f>
        <v>115</v>
      </c>
      <c r="AC62" s="16" t="n">
        <f aca="false">E62-Q62</f>
        <v>-22.5</v>
      </c>
      <c r="AD62" s="16" t="n">
        <f aca="false">F62-R62</f>
        <v>33</v>
      </c>
      <c r="AE62" s="16" t="n">
        <f aca="false">G62-S62</f>
        <v>-11</v>
      </c>
      <c r="AF62" s="16" t="n">
        <f aca="false">H62-T62</f>
        <v>39.5</v>
      </c>
      <c r="AG62" s="16" t="n">
        <f aca="false">I62-U62</f>
        <v>22</v>
      </c>
      <c r="AH62" s="16" t="n">
        <f aca="false">J62-V62</f>
        <v>-7</v>
      </c>
      <c r="AI62" s="16" t="n">
        <f aca="false">K62-W62</f>
        <v>59</v>
      </c>
      <c r="AJ62" s="16" t="n">
        <f aca="false">L62-X62</f>
        <v>-32.5</v>
      </c>
      <c r="AK62" s="16" t="n">
        <f aca="false">M62-Y62</f>
        <v>14.5</v>
      </c>
      <c r="AL62" s="16" t="n">
        <f aca="false">N62-Z62</f>
        <v>94.5</v>
      </c>
    </row>
    <row r="63" customFormat="false" ht="15" hidden="false" customHeight="false" outlineLevel="0" collapsed="false">
      <c r="A63" s="6" t="s">
        <v>89</v>
      </c>
      <c r="B63" s="7" t="s">
        <v>90</v>
      </c>
      <c r="C63" s="38" t="s">
        <v>179</v>
      </c>
      <c r="D63" s="16" t="n">
        <f aca="false">AVERAGEIF('United Games For'!$A$5:$A$22,D$5,'United Games For'!BI$5:BI$22)</f>
        <v>123</v>
      </c>
      <c r="E63" s="16" t="n">
        <f aca="false">AVERAGEIF('United Games For'!$A$5:$A$22,E$5,'United Games For'!BI$5:BI$22)</f>
        <v>87.5</v>
      </c>
      <c r="F63" s="16" t="n">
        <f aca="false">AVERAGEIF('United Games For'!$A$5:$A$22,F$5,'United Games For'!BI$5:BI$22)</f>
        <v>86.5</v>
      </c>
      <c r="G63" s="16" t="n">
        <f aca="false">AVERAGEIF('United Games For'!$A$5:$A$22,G$5,'United Games For'!BI$5:BI$22)</f>
        <v>109</v>
      </c>
      <c r="H63" s="16" t="n">
        <f aca="false">AVERAGEIF('United Games For'!$A$5:$A$22,H$5,'United Games For'!BI$5:BI$22)</f>
        <v>98.5</v>
      </c>
      <c r="I63" s="16" t="n">
        <f aca="false">AVERAGEIF('United Games For'!$A$5:$A$22,I$5,'United Games For'!BI$5:BI$22)</f>
        <v>99</v>
      </c>
      <c r="J63" s="16" t="n">
        <f aca="false">AVERAGEIF('United Games For'!$A$5:$A$22,J$5,'United Games For'!BI$5:BI$22)</f>
        <v>63</v>
      </c>
      <c r="K63" s="16" t="n">
        <f aca="false">AVERAGEIF('United Games For'!$A$5:$A$22,K$5,'United Games For'!BI$5:BI$22)</f>
        <v>89</v>
      </c>
      <c r="L63" s="16" t="n">
        <f aca="false">AVERAGEIF('United Games For'!$A$5:$A$22,L$5,'United Games For'!BI$5:BI$22)</f>
        <v>90.5</v>
      </c>
      <c r="M63" s="16" t="n">
        <f aca="false">AVERAGEIF('United Games For'!$A$5:$A$22,M$5,'United Games For'!BI$5:BI$22)</f>
        <v>87.5</v>
      </c>
      <c r="N63" s="16" t="n">
        <f aca="false">AVERAGEIF('United Games For'!$A$5:$A$22,N$5,'United Games For'!BI$5:BI$22)</f>
        <v>131.5</v>
      </c>
      <c r="P63" s="16" t="n">
        <f aca="false">AVERAGEIF('United Games Against'!$A$5:$A$22,D$5,'United Games Against'!BI$5:BI$22)</f>
        <v>85</v>
      </c>
      <c r="Q63" s="16" t="n">
        <f aca="false">AVERAGEIF('United Games Against'!$A$5:$A$22,E$5,'United Games Against'!BI$5:BI$22)</f>
        <v>123</v>
      </c>
      <c r="R63" s="16" t="n">
        <f aca="false">AVERAGEIF('United Games Against'!$A$5:$A$22,F$5,'United Games Against'!BI$5:BI$22)</f>
        <v>92</v>
      </c>
      <c r="S63" s="16" t="n">
        <f aca="false">AVERAGEIF('United Games Against'!$A$5:$A$22,G$5,'United Games Against'!BI$5:BI$22)</f>
        <v>72</v>
      </c>
      <c r="T63" s="16" t="n">
        <f aca="false">AVERAGEIF('United Games Against'!$A$5:$A$22,H$5,'United Games Against'!BI$5:BI$22)</f>
        <v>95</v>
      </c>
      <c r="U63" s="16" t="n">
        <f aca="false">AVERAGEIF('United Games Against'!$A$5:$A$22,I$5,'United Games Against'!BI$5:BI$22)</f>
        <v>97.5</v>
      </c>
      <c r="V63" s="16" t="n">
        <f aca="false">AVERAGEIF('United Games Against'!$A$5:$A$22,J$5,'United Games Against'!BI$5:BI$22)</f>
        <v>91</v>
      </c>
      <c r="W63" s="16" t="n">
        <f aca="false">AVERAGEIF('United Games Against'!$A$5:$A$22,K$5,'United Games Against'!BI$5:BI$22)</f>
        <v>81</v>
      </c>
      <c r="X63" s="16" t="n">
        <f aca="false">AVERAGEIF('United Games Against'!$A$5:$A$22,L$5,'United Games Against'!BI$5:BI$22)</f>
        <v>95.5</v>
      </c>
      <c r="Y63" s="16" t="n">
        <f aca="false">AVERAGEIF('United Games Against'!$A$5:$A$22,M$5,'United Games Against'!BI$5:BI$22)</f>
        <v>85.5</v>
      </c>
      <c r="Z63" s="16" t="n">
        <f aca="false">AVERAGEIF('United Games Against'!$A$5:$A$22,N$5,'United Games Against'!BI$5:BI$22)</f>
        <v>79.5</v>
      </c>
      <c r="AB63" s="16" t="n">
        <f aca="false">D63-P63</f>
        <v>38</v>
      </c>
      <c r="AC63" s="16" t="n">
        <f aca="false">E63-Q63</f>
        <v>-35.5</v>
      </c>
      <c r="AD63" s="16" t="n">
        <f aca="false">F63-R63</f>
        <v>-5.5</v>
      </c>
      <c r="AE63" s="16" t="n">
        <f aca="false">G63-S63</f>
        <v>37</v>
      </c>
      <c r="AF63" s="16" t="n">
        <f aca="false">H63-T63</f>
        <v>3.5</v>
      </c>
      <c r="AG63" s="16" t="n">
        <f aca="false">I63-U63</f>
        <v>1.5</v>
      </c>
      <c r="AH63" s="16" t="n">
        <f aca="false">J63-V63</f>
        <v>-28</v>
      </c>
      <c r="AI63" s="16" t="n">
        <f aca="false">K63-W63</f>
        <v>8</v>
      </c>
      <c r="AJ63" s="16" t="n">
        <f aca="false">L63-X63</f>
        <v>-5</v>
      </c>
      <c r="AK63" s="16" t="n">
        <f aca="false">M63-Y63</f>
        <v>2</v>
      </c>
      <c r="AL63" s="16" t="n">
        <f aca="false">N63-Z63</f>
        <v>52</v>
      </c>
    </row>
    <row r="64" customFormat="false" ht="15" hidden="false" customHeight="false" outlineLevel="0" collapsed="false">
      <c r="A64" s="6" t="s">
        <v>59</v>
      </c>
      <c r="B64" s="7" t="s">
        <v>60</v>
      </c>
      <c r="C64" s="38" t="s">
        <v>179</v>
      </c>
      <c r="D64" s="16" t="n">
        <f aca="false">AVERAGEIF('United Games For'!$A$5:$A$22,D$5,'United Games For'!BJ$5:BJ$22)</f>
        <v>328</v>
      </c>
      <c r="E64" s="16" t="n">
        <f aca="false">AVERAGEIF('United Games For'!$A$5:$A$22,E$5,'United Games For'!BJ$5:BJ$22)</f>
        <v>212</v>
      </c>
      <c r="F64" s="16" t="n">
        <f aca="false">AVERAGEIF('United Games For'!$A$5:$A$22,F$5,'United Games For'!BJ$5:BJ$22)</f>
        <v>228.5</v>
      </c>
      <c r="G64" s="16" t="n">
        <f aca="false">AVERAGEIF('United Games For'!$A$5:$A$22,G$5,'United Games For'!BJ$5:BJ$22)</f>
        <v>249</v>
      </c>
      <c r="H64" s="16" t="n">
        <f aca="false">AVERAGEIF('United Games For'!$A$5:$A$22,H$5,'United Games For'!BJ$5:BJ$22)</f>
        <v>251.5</v>
      </c>
      <c r="I64" s="16" t="n">
        <f aca="false">AVERAGEIF('United Games For'!$A$5:$A$22,I$5,'United Games For'!BJ$5:BJ$22)</f>
        <v>223</v>
      </c>
      <c r="J64" s="16" t="n">
        <f aca="false">AVERAGEIF('United Games For'!$A$5:$A$22,J$5,'United Games For'!BJ$5:BJ$22)</f>
        <v>180</v>
      </c>
      <c r="K64" s="16" t="n">
        <f aca="false">AVERAGEIF('United Games For'!$A$5:$A$22,K$5,'United Games For'!BJ$5:BJ$22)</f>
        <v>239</v>
      </c>
      <c r="L64" s="16" t="n">
        <f aca="false">AVERAGEIF('United Games For'!$A$5:$A$22,L$5,'United Games For'!BJ$5:BJ$22)</f>
        <v>183.5</v>
      </c>
      <c r="M64" s="16" t="n">
        <f aca="false">AVERAGEIF('United Games For'!$A$5:$A$22,M$5,'United Games For'!BJ$5:BJ$22)</f>
        <v>236</v>
      </c>
      <c r="N64" s="16" t="n">
        <f aca="false">AVERAGEIF('United Games For'!$A$5:$A$22,N$5,'United Games For'!BJ$5:BJ$22)</f>
        <v>339.5</v>
      </c>
      <c r="P64" s="16" t="n">
        <f aca="false">AVERAGEIF('United Games Against'!$A$5:$A$22,D$5,'United Games Against'!BJ$5:BJ$22)</f>
        <v>175</v>
      </c>
      <c r="Q64" s="16" t="n">
        <f aca="false">AVERAGEIF('United Games Against'!$A$5:$A$22,E$5,'United Games Against'!BJ$5:BJ$22)</f>
        <v>270</v>
      </c>
      <c r="R64" s="16" t="n">
        <f aca="false">AVERAGEIF('United Games Against'!$A$5:$A$22,F$5,'United Games Against'!BJ$5:BJ$22)</f>
        <v>201</v>
      </c>
      <c r="S64" s="16" t="n">
        <f aca="false">AVERAGEIF('United Games Against'!$A$5:$A$22,G$5,'United Games Against'!BJ$5:BJ$22)</f>
        <v>223</v>
      </c>
      <c r="T64" s="16" t="n">
        <f aca="false">AVERAGEIF('United Games Against'!$A$5:$A$22,H$5,'United Games Against'!BJ$5:BJ$22)</f>
        <v>208.5</v>
      </c>
      <c r="U64" s="16" t="n">
        <f aca="false">AVERAGEIF('United Games Against'!$A$5:$A$22,I$5,'United Games Against'!BJ$5:BJ$22)</f>
        <v>199.5</v>
      </c>
      <c r="V64" s="16" t="n">
        <f aca="false">AVERAGEIF('United Games Against'!$A$5:$A$22,J$5,'United Games Against'!BJ$5:BJ$22)</f>
        <v>215</v>
      </c>
      <c r="W64" s="16" t="n">
        <f aca="false">AVERAGEIF('United Games Against'!$A$5:$A$22,K$5,'United Games Against'!BJ$5:BJ$22)</f>
        <v>172</v>
      </c>
      <c r="X64" s="16" t="n">
        <f aca="false">AVERAGEIF('United Games Against'!$A$5:$A$22,L$5,'United Games Against'!BJ$5:BJ$22)</f>
        <v>221</v>
      </c>
      <c r="Y64" s="16" t="n">
        <f aca="false">AVERAGEIF('United Games Against'!$A$5:$A$22,M$5,'United Games Against'!BJ$5:BJ$22)</f>
        <v>219.5</v>
      </c>
      <c r="Z64" s="16" t="n">
        <f aca="false">AVERAGEIF('United Games Against'!$A$5:$A$22,N$5,'United Games Against'!BJ$5:BJ$22)</f>
        <v>193</v>
      </c>
      <c r="AB64" s="16" t="n">
        <f aca="false">D64-P64</f>
        <v>153</v>
      </c>
      <c r="AC64" s="16" t="n">
        <f aca="false">E64-Q64</f>
        <v>-58</v>
      </c>
      <c r="AD64" s="16" t="n">
        <f aca="false">F64-R64</f>
        <v>27.5</v>
      </c>
      <c r="AE64" s="16" t="n">
        <f aca="false">G64-S64</f>
        <v>26</v>
      </c>
      <c r="AF64" s="16" t="n">
        <f aca="false">H64-T64</f>
        <v>43</v>
      </c>
      <c r="AG64" s="16" t="n">
        <f aca="false">I64-U64</f>
        <v>23.5</v>
      </c>
      <c r="AH64" s="16" t="n">
        <f aca="false">J64-V64</f>
        <v>-35</v>
      </c>
      <c r="AI64" s="16" t="n">
        <f aca="false">K64-W64</f>
        <v>67</v>
      </c>
      <c r="AJ64" s="16" t="n">
        <f aca="false">L64-X64</f>
        <v>-37.5</v>
      </c>
      <c r="AK64" s="16" t="n">
        <f aca="false">M64-Y64</f>
        <v>16.5</v>
      </c>
      <c r="AL64" s="16" t="n">
        <f aca="false">N64-Z64</f>
        <v>146.5</v>
      </c>
    </row>
    <row r="65" customFormat="false" ht="15" hidden="false" customHeight="false" outlineLevel="0" collapsed="false">
      <c r="A65" s="6" t="s">
        <v>61</v>
      </c>
      <c r="B65" s="7" t="s">
        <v>62</v>
      </c>
      <c r="C65" s="38" t="s">
        <v>179</v>
      </c>
      <c r="D65" s="16" t="n">
        <f aca="false">AVERAGEIF('United Games For'!$A$5:$A$22,D$5,'United Games For'!BK$5:BK$22)</f>
        <v>28</v>
      </c>
      <c r="E65" s="16" t="n">
        <f aca="false">AVERAGEIF('United Games For'!$A$5:$A$22,E$5,'United Games For'!BK$5:BK$22)</f>
        <v>22</v>
      </c>
      <c r="F65" s="16" t="n">
        <f aca="false">AVERAGEIF('United Games For'!$A$5:$A$22,F$5,'United Games For'!BK$5:BK$22)</f>
        <v>22.5</v>
      </c>
      <c r="G65" s="16" t="n">
        <f aca="false">AVERAGEIF('United Games For'!$A$5:$A$22,G$5,'United Games For'!BK$5:BK$22)</f>
        <v>27</v>
      </c>
      <c r="H65" s="16" t="n">
        <f aca="false">AVERAGEIF('United Games For'!$A$5:$A$22,H$5,'United Games For'!BK$5:BK$22)</f>
        <v>28.5</v>
      </c>
      <c r="I65" s="16" t="n">
        <f aca="false">AVERAGEIF('United Games For'!$A$5:$A$22,I$5,'United Games For'!BK$5:BK$22)</f>
        <v>20</v>
      </c>
      <c r="J65" s="16" t="n">
        <f aca="false">AVERAGEIF('United Games For'!$A$5:$A$22,J$5,'United Games For'!BK$5:BK$22)</f>
        <v>15</v>
      </c>
      <c r="K65" s="16" t="n">
        <f aca="false">AVERAGEIF('United Games For'!$A$5:$A$22,K$5,'United Games For'!BK$5:BK$22)</f>
        <v>32</v>
      </c>
      <c r="L65" s="16" t="n">
        <f aca="false">AVERAGEIF('United Games For'!$A$5:$A$22,L$5,'United Games For'!BK$5:BK$22)</f>
        <v>26.5</v>
      </c>
      <c r="M65" s="16" t="n">
        <f aca="false">AVERAGEIF('United Games For'!$A$5:$A$22,M$5,'United Games For'!BK$5:BK$22)</f>
        <v>28</v>
      </c>
      <c r="N65" s="16" t="n">
        <f aca="false">AVERAGEIF('United Games For'!$A$5:$A$22,N$5,'United Games For'!BK$5:BK$22)</f>
        <v>31.5</v>
      </c>
      <c r="P65" s="16" t="n">
        <f aca="false">AVERAGEIF('United Games Against'!$A$5:$A$22,D$5,'United Games Against'!BK$5:BK$22)</f>
        <v>17</v>
      </c>
      <c r="Q65" s="16" t="n">
        <f aca="false">AVERAGEIF('United Games Against'!$A$5:$A$22,E$5,'United Games Against'!BK$5:BK$22)</f>
        <v>36.5</v>
      </c>
      <c r="R65" s="16" t="n">
        <f aca="false">AVERAGEIF('United Games Against'!$A$5:$A$22,F$5,'United Games Against'!BK$5:BK$22)</f>
        <v>18.5</v>
      </c>
      <c r="S65" s="16" t="n">
        <f aca="false">AVERAGEIF('United Games Against'!$A$5:$A$22,G$5,'United Games Against'!BK$5:BK$22)</f>
        <v>28</v>
      </c>
      <c r="T65" s="16" t="n">
        <f aca="false">AVERAGEIF('United Games Against'!$A$5:$A$22,H$5,'United Games Against'!BK$5:BK$22)</f>
        <v>27.5</v>
      </c>
      <c r="U65" s="16" t="n">
        <f aca="false">AVERAGEIF('United Games Against'!$A$5:$A$22,I$5,'United Games Against'!BK$5:BK$22)</f>
        <v>25.5</v>
      </c>
      <c r="V65" s="16" t="n">
        <f aca="false">AVERAGEIF('United Games Against'!$A$5:$A$22,J$5,'United Games Against'!BK$5:BK$22)</f>
        <v>24</v>
      </c>
      <c r="W65" s="16" t="n">
        <f aca="false">AVERAGEIF('United Games Against'!$A$5:$A$22,K$5,'United Games Against'!BK$5:BK$22)</f>
        <v>23</v>
      </c>
      <c r="X65" s="16" t="n">
        <f aca="false">AVERAGEIF('United Games Against'!$A$5:$A$22,L$5,'United Games Against'!BK$5:BK$22)</f>
        <v>23.5</v>
      </c>
      <c r="Y65" s="16" t="n">
        <f aca="false">AVERAGEIF('United Games Against'!$A$5:$A$22,M$5,'United Games Against'!BK$5:BK$22)</f>
        <v>24.5</v>
      </c>
      <c r="Z65" s="16" t="n">
        <f aca="false">AVERAGEIF('United Games Against'!$A$5:$A$22,N$5,'United Games Against'!BK$5:BK$22)</f>
        <v>17</v>
      </c>
      <c r="AB65" s="16" t="n">
        <f aca="false">D65-P65</f>
        <v>11</v>
      </c>
      <c r="AC65" s="16" t="n">
        <f aca="false">E65-Q65</f>
        <v>-14.5</v>
      </c>
      <c r="AD65" s="16" t="n">
        <f aca="false">F65-R65</f>
        <v>4</v>
      </c>
      <c r="AE65" s="16" t="n">
        <f aca="false">G65-S65</f>
        <v>-1</v>
      </c>
      <c r="AF65" s="16" t="n">
        <f aca="false">H65-T65</f>
        <v>1</v>
      </c>
      <c r="AG65" s="16" t="n">
        <f aca="false">I65-U65</f>
        <v>-5.5</v>
      </c>
      <c r="AH65" s="16" t="n">
        <f aca="false">J65-V65</f>
        <v>-9</v>
      </c>
      <c r="AI65" s="16" t="n">
        <f aca="false">K65-W65</f>
        <v>9</v>
      </c>
      <c r="AJ65" s="16" t="n">
        <f aca="false">L65-X65</f>
        <v>3</v>
      </c>
      <c r="AK65" s="16" t="n">
        <f aca="false">M65-Y65</f>
        <v>3.5</v>
      </c>
      <c r="AL65" s="16" t="n">
        <f aca="false">N65-Z65</f>
        <v>14.5</v>
      </c>
    </row>
    <row r="66" customFormat="false" ht="15" hidden="false" customHeight="false" outlineLevel="0" collapsed="false">
      <c r="A66" s="6" t="s">
        <v>63</v>
      </c>
      <c r="B66" s="7" t="s">
        <v>64</v>
      </c>
      <c r="C66" s="38" t="s">
        <v>179</v>
      </c>
      <c r="D66" s="16" t="n">
        <f aca="false">AVERAGEIF('United Games For'!$A$5:$A$22,D$5,'United Games For'!BL$5:BL$22)</f>
        <v>22</v>
      </c>
      <c r="E66" s="16" t="n">
        <f aca="false">AVERAGEIF('United Games For'!$A$5:$A$22,E$5,'United Games For'!BL$5:BL$22)</f>
        <v>15.5</v>
      </c>
      <c r="F66" s="16" t="n">
        <f aca="false">AVERAGEIF('United Games For'!$A$5:$A$22,F$5,'United Games For'!BL$5:BL$22)</f>
        <v>19.5</v>
      </c>
      <c r="G66" s="16" t="n">
        <f aca="false">AVERAGEIF('United Games For'!$A$5:$A$22,G$5,'United Games For'!BL$5:BL$22)</f>
        <v>26</v>
      </c>
      <c r="H66" s="16" t="n">
        <f aca="false">AVERAGEIF('United Games For'!$A$5:$A$22,H$5,'United Games For'!BL$5:BL$22)</f>
        <v>22</v>
      </c>
      <c r="I66" s="16" t="n">
        <f aca="false">AVERAGEIF('United Games For'!$A$5:$A$22,I$5,'United Games For'!BL$5:BL$22)</f>
        <v>16</v>
      </c>
      <c r="J66" s="16" t="n">
        <f aca="false">AVERAGEIF('United Games For'!$A$5:$A$22,J$5,'United Games For'!BL$5:BL$22)</f>
        <v>25</v>
      </c>
      <c r="K66" s="16" t="n">
        <f aca="false">AVERAGEIF('United Games For'!$A$5:$A$22,K$5,'United Games For'!BL$5:BL$22)</f>
        <v>18</v>
      </c>
      <c r="L66" s="16" t="n">
        <f aca="false">AVERAGEIF('United Games For'!$A$5:$A$22,L$5,'United Games For'!BL$5:BL$22)</f>
        <v>20</v>
      </c>
      <c r="M66" s="16" t="n">
        <f aca="false">AVERAGEIF('United Games For'!$A$5:$A$22,M$5,'United Games For'!BL$5:BL$22)</f>
        <v>24</v>
      </c>
      <c r="N66" s="16" t="n">
        <f aca="false">AVERAGEIF('United Games For'!$A$5:$A$22,N$5,'United Games For'!BL$5:BL$22)</f>
        <v>17</v>
      </c>
      <c r="P66" s="16" t="n">
        <f aca="false">AVERAGEIF('United Games Against'!$A$5:$A$22,D$5,'United Games Against'!BL$5:BL$22)</f>
        <v>25</v>
      </c>
      <c r="Q66" s="16" t="n">
        <f aca="false">AVERAGEIF('United Games Against'!$A$5:$A$22,E$5,'United Games Against'!BL$5:BL$22)</f>
        <v>19</v>
      </c>
      <c r="R66" s="16" t="n">
        <f aca="false">AVERAGEIF('United Games Against'!$A$5:$A$22,F$5,'United Games Against'!BL$5:BL$22)</f>
        <v>20</v>
      </c>
      <c r="S66" s="16" t="n">
        <f aca="false">AVERAGEIF('United Games Against'!$A$5:$A$22,G$5,'United Games Against'!BL$5:BL$22)</f>
        <v>25</v>
      </c>
      <c r="T66" s="16" t="n">
        <f aca="false">AVERAGEIF('United Games Against'!$A$5:$A$22,H$5,'United Games Against'!BL$5:BL$22)</f>
        <v>17.5</v>
      </c>
      <c r="U66" s="16" t="n">
        <f aca="false">AVERAGEIF('United Games Against'!$A$5:$A$22,I$5,'United Games Against'!BL$5:BL$22)</f>
        <v>19.5</v>
      </c>
      <c r="V66" s="16" t="n">
        <f aca="false">AVERAGEIF('United Games Against'!$A$5:$A$22,J$5,'United Games Against'!BL$5:BL$22)</f>
        <v>23</v>
      </c>
      <c r="W66" s="16" t="n">
        <f aca="false">AVERAGEIF('United Games Against'!$A$5:$A$22,K$5,'United Games Against'!BL$5:BL$22)</f>
        <v>15</v>
      </c>
      <c r="X66" s="16" t="n">
        <f aca="false">AVERAGEIF('United Games Against'!$A$5:$A$22,L$5,'United Games Against'!BL$5:BL$22)</f>
        <v>20</v>
      </c>
      <c r="Y66" s="16" t="n">
        <f aca="false">AVERAGEIF('United Games Against'!$A$5:$A$22,M$5,'United Games Against'!BL$5:BL$22)</f>
        <v>24.5</v>
      </c>
      <c r="Z66" s="16" t="n">
        <f aca="false">AVERAGEIF('United Games Against'!$A$5:$A$22,N$5,'United Games Against'!BL$5:BL$22)</f>
        <v>25</v>
      </c>
      <c r="AB66" s="16" t="n">
        <f aca="false">D66-P66</f>
        <v>-3</v>
      </c>
      <c r="AC66" s="16" t="n">
        <f aca="false">E66-Q66</f>
        <v>-3.5</v>
      </c>
      <c r="AD66" s="16" t="n">
        <f aca="false">F66-R66</f>
        <v>-0.5</v>
      </c>
      <c r="AE66" s="16" t="n">
        <f aca="false">G66-S66</f>
        <v>1</v>
      </c>
      <c r="AF66" s="16" t="n">
        <f aca="false">H66-T66</f>
        <v>4.5</v>
      </c>
      <c r="AG66" s="16" t="n">
        <f aca="false">I66-U66</f>
        <v>-3.5</v>
      </c>
      <c r="AH66" s="16" t="n">
        <f aca="false">J66-V66</f>
        <v>2</v>
      </c>
      <c r="AI66" s="16" t="n">
        <f aca="false">K66-W66</f>
        <v>3</v>
      </c>
      <c r="AJ66" s="16" t="n">
        <f aca="false">L66-X66</f>
        <v>0</v>
      </c>
      <c r="AK66" s="16" t="n">
        <f aca="false">M66-Y66</f>
        <v>-0.5</v>
      </c>
      <c r="AL66" s="16" t="n">
        <f aca="false">N66-Z66</f>
        <v>-8</v>
      </c>
    </row>
  </sheetData>
  <conditionalFormatting sqref="AB7:AL66">
    <cfRule type="expression" priority="2" aboveAverage="0" equalAverage="0" bottom="0" percent="0" rank="0" text="" dxfId="44">
      <formula>AND($C7="Y",AB7&gt;0)</formula>
    </cfRule>
    <cfRule type="expression" priority="3" aboveAverage="0" equalAverage="0" bottom="0" percent="0" rank="0" text="" dxfId="45">
      <formula>AND($C7="Y",AB7&lt;0)</formula>
    </cfRule>
    <cfRule type="expression" priority="4" aboveAverage="0" equalAverage="0" bottom="0" percent="0" rank="0" text="" dxfId="44">
      <formula>AND($C7="N",AB7&lt;0)</formula>
    </cfRule>
    <cfRule type="expression" priority="5" aboveAverage="0" equalAverage="0" bottom="0" percent="0" rank="0" text="" dxfId="45">
      <formula>AND($C7="N",AB7&gt;0)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8F3A"/>
    <pageSetUpPr fitToPage="false"/>
  </sheetPr>
  <dimension ref="A1:AM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39" min="4" style="0" width="11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8" t="s">
        <v>225</v>
      </c>
    </row>
    <row r="4" customFormat="false" ht="15" hidden="false" customHeight="false" outlineLevel="0" collapsed="false">
      <c r="D4" s="36" t="s">
        <v>226</v>
      </c>
      <c r="P4" s="36" t="s">
        <v>227</v>
      </c>
      <c r="AB4" s="36" t="s">
        <v>228</v>
      </c>
    </row>
    <row r="5" customFormat="false" ht="45" hidden="false" customHeight="true" outlineLevel="0" collapsed="false">
      <c r="A5" s="2" t="s">
        <v>167</v>
      </c>
      <c r="B5" s="2" t="s">
        <v>168</v>
      </c>
      <c r="C5" s="2" t="s">
        <v>169</v>
      </c>
      <c r="D5" s="2" t="s">
        <v>202</v>
      </c>
      <c r="E5" s="2" t="s">
        <v>201</v>
      </c>
      <c r="F5" s="2" t="s">
        <v>193</v>
      </c>
      <c r="G5" s="2" t="s">
        <v>199</v>
      </c>
      <c r="H5" s="2" t="s">
        <v>198</v>
      </c>
      <c r="I5" s="2" t="s">
        <v>197</v>
      </c>
      <c r="J5" s="2" t="s">
        <v>196</v>
      </c>
      <c r="K5" s="2" t="s">
        <v>194</v>
      </c>
      <c r="L5" s="2" t="s">
        <v>200</v>
      </c>
      <c r="M5" s="2" t="s">
        <v>195</v>
      </c>
      <c r="N5" s="2" t="s">
        <v>203</v>
      </c>
      <c r="O5" s="2"/>
      <c r="P5" s="2" t="s">
        <v>202</v>
      </c>
      <c r="Q5" s="2" t="s">
        <v>201</v>
      </c>
      <c r="R5" s="2" t="s">
        <v>193</v>
      </c>
      <c r="S5" s="2" t="s">
        <v>199</v>
      </c>
      <c r="T5" s="2" t="s">
        <v>198</v>
      </c>
      <c r="U5" s="2" t="s">
        <v>197</v>
      </c>
      <c r="V5" s="2" t="s">
        <v>196</v>
      </c>
      <c r="W5" s="2" t="s">
        <v>194</v>
      </c>
      <c r="X5" s="2" t="s">
        <v>200</v>
      </c>
      <c r="Y5" s="2" t="s">
        <v>195</v>
      </c>
      <c r="Z5" s="2" t="s">
        <v>203</v>
      </c>
      <c r="AA5" s="2"/>
      <c r="AB5" s="2" t="s">
        <v>202</v>
      </c>
      <c r="AC5" s="2" t="s">
        <v>201</v>
      </c>
      <c r="AD5" s="2" t="s">
        <v>193</v>
      </c>
      <c r="AE5" s="2" t="s">
        <v>199</v>
      </c>
      <c r="AF5" s="2" t="s">
        <v>198</v>
      </c>
      <c r="AG5" s="2" t="s">
        <v>197</v>
      </c>
      <c r="AH5" s="2" t="s">
        <v>196</v>
      </c>
      <c r="AI5" s="2" t="s">
        <v>194</v>
      </c>
      <c r="AJ5" s="2" t="s">
        <v>200</v>
      </c>
      <c r="AK5" s="2" t="s">
        <v>195</v>
      </c>
      <c r="AL5" s="2" t="s">
        <v>203</v>
      </c>
      <c r="AM5" s="2"/>
    </row>
    <row r="6" customFormat="false" ht="15" hidden="false" customHeight="false" outlineLevel="0" collapsed="false">
      <c r="B6" s="37" t="s">
        <v>229</v>
      </c>
      <c r="D6" s="37" t="n">
        <f aca="false">COUNTIF('Echuca Games For'!$A$5:$A$25,D$5)</f>
        <v>2</v>
      </c>
      <c r="E6" s="37" t="n">
        <f aca="false">COUNTIF('Echuca Games For'!$A$5:$A$25,E$5)</f>
        <v>1</v>
      </c>
      <c r="F6" s="37" t="n">
        <f aca="false">COUNTIF('Echuca Games For'!$A$5:$A$25,F$5)</f>
        <v>3</v>
      </c>
      <c r="G6" s="37" t="n">
        <f aca="false">COUNTIF('Echuca Games For'!$A$5:$A$25,G$5)</f>
        <v>1</v>
      </c>
      <c r="H6" s="37" t="n">
        <f aca="false">COUNTIF('Echuca Games For'!$A$5:$A$25,H$5)</f>
        <v>2</v>
      </c>
      <c r="I6" s="37" t="n">
        <f aca="false">COUNTIF('Echuca Games For'!$A$5:$A$25,I$5)</f>
        <v>2</v>
      </c>
      <c r="J6" s="37" t="n">
        <f aca="false">COUNTIF('Echuca Games For'!$A$5:$A$25,J$5)</f>
        <v>2</v>
      </c>
      <c r="K6" s="37" t="n">
        <f aca="false">COUNTIF('Echuca Games For'!$A$5:$A$25,K$5)</f>
        <v>3</v>
      </c>
      <c r="L6" s="37" t="n">
        <f aca="false">COUNTIF('Echuca Games For'!$A$5:$A$25,L$5)</f>
        <v>1</v>
      </c>
      <c r="M6" s="37" t="n">
        <f aca="false">COUNTIF('Echuca Games For'!$A$5:$A$25,M$5)</f>
        <v>2</v>
      </c>
      <c r="N6" s="37" t="n">
        <f aca="false">COUNTIF('Echuca Games For'!$A$5:$A$25,N$5)</f>
        <v>2</v>
      </c>
    </row>
    <row r="7" customFormat="false" ht="15" hidden="false" customHeight="false" outlineLevel="0" collapsed="false">
      <c r="A7" s="6" t="s">
        <v>55</v>
      </c>
      <c r="B7" s="7" t="s">
        <v>56</v>
      </c>
      <c r="C7" s="38" t="s">
        <v>179</v>
      </c>
      <c r="D7" s="16" t="n">
        <f aca="false">AVERAGEIF('Echuca Games For'!$A$5:$A$25,D$5,'Echuca Games For'!E$5:E$25)</f>
        <v>378.5</v>
      </c>
      <c r="E7" s="16" t="n">
        <f aca="false">AVERAGEIF('Echuca Games For'!$A$5:$A$25,E$5,'Echuca Games For'!E$5:E$25)</f>
        <v>430</v>
      </c>
      <c r="F7" s="16" t="n">
        <f aca="false">AVERAGEIF('Echuca Games For'!$A$5:$A$25,F$5,'Echuca Games For'!E$5:E$25)</f>
        <v>346.666666666667</v>
      </c>
      <c r="G7" s="16" t="n">
        <f aca="false">AVERAGEIF('Echuca Games For'!$A$5:$A$25,G$5,'Echuca Games For'!E$5:E$25)</f>
        <v>380</v>
      </c>
      <c r="H7" s="16" t="n">
        <f aca="false">AVERAGEIF('Echuca Games For'!$A$5:$A$25,H$5,'Echuca Games For'!E$5:E$25)</f>
        <v>350</v>
      </c>
      <c r="I7" s="16" t="n">
        <f aca="false">AVERAGEIF('Echuca Games For'!$A$5:$A$25,I$5,'Echuca Games For'!E$5:E$25)</f>
        <v>362.5</v>
      </c>
      <c r="J7" s="16" t="n">
        <f aca="false">AVERAGEIF('Echuca Games For'!$A$5:$A$25,J$5,'Echuca Games For'!E$5:E$25)</f>
        <v>351.5</v>
      </c>
      <c r="K7" s="16" t="n">
        <f aca="false">AVERAGEIF('Echuca Games For'!$A$5:$A$25,K$5,'Echuca Games For'!E$5:E$25)</f>
        <v>368</v>
      </c>
      <c r="L7" s="16" t="n">
        <f aca="false">AVERAGEIF('Echuca Games For'!$A$5:$A$25,L$5,'Echuca Games For'!E$5:E$25)</f>
        <v>439</v>
      </c>
      <c r="M7" s="16" t="n">
        <f aca="false">AVERAGEIF('Echuca Games For'!$A$5:$A$25,M$5,'Echuca Games For'!E$5:E$25)</f>
        <v>379.5</v>
      </c>
      <c r="N7" s="16" t="n">
        <f aca="false">AVERAGEIF('Echuca Games For'!$A$5:$A$25,N$5,'Echuca Games For'!E$5:E$25)</f>
        <v>392</v>
      </c>
      <c r="P7" s="16" t="n">
        <f aca="false">AVERAGEIF('Echuca Games Against'!$A$5:$A$25,D$5,'Echuca Games Against'!E$5:E$25)</f>
        <v>315</v>
      </c>
      <c r="Q7" s="16" t="n">
        <f aca="false">AVERAGEIF('Echuca Games Against'!$A$5:$A$25,E$5,'Echuca Games Against'!E$5:E$25)</f>
        <v>292</v>
      </c>
      <c r="R7" s="16" t="n">
        <f aca="false">AVERAGEIF('Echuca Games Against'!$A$5:$A$25,F$5,'Echuca Games Against'!E$5:E$25)</f>
        <v>342.333333333333</v>
      </c>
      <c r="S7" s="16" t="n">
        <f aca="false">AVERAGEIF('Echuca Games Against'!$A$5:$A$25,G$5,'Echuca Games Against'!E$5:E$25)</f>
        <v>308</v>
      </c>
      <c r="T7" s="16" t="n">
        <f aca="false">AVERAGEIF('Echuca Games Against'!$A$5:$A$25,H$5,'Echuca Games Against'!E$5:E$25)</f>
        <v>332</v>
      </c>
      <c r="U7" s="16" t="n">
        <f aca="false">AVERAGEIF('Echuca Games Against'!$A$5:$A$25,I$5,'Echuca Games Against'!E$5:E$25)</f>
        <v>359.5</v>
      </c>
      <c r="V7" s="16" t="n">
        <f aca="false">AVERAGEIF('Echuca Games Against'!$A$5:$A$25,J$5,'Echuca Games Against'!E$5:E$25)</f>
        <v>352.5</v>
      </c>
      <c r="W7" s="16" t="n">
        <f aca="false">AVERAGEIF('Echuca Games Against'!$A$5:$A$25,K$5,'Echuca Games Against'!E$5:E$25)</f>
        <v>323.333333333333</v>
      </c>
      <c r="X7" s="16" t="n">
        <f aca="false">AVERAGEIF('Echuca Games Against'!$A$5:$A$25,L$5,'Echuca Games Against'!E$5:E$25)</f>
        <v>335</v>
      </c>
      <c r="Y7" s="16" t="n">
        <f aca="false">AVERAGEIF('Echuca Games Against'!$A$5:$A$25,M$5,'Echuca Games Against'!E$5:E$25)</f>
        <v>322.5</v>
      </c>
      <c r="Z7" s="16" t="n">
        <f aca="false">AVERAGEIF('Echuca Games Against'!$A$5:$A$25,N$5,'Echuca Games Against'!E$5:E$25)</f>
        <v>325</v>
      </c>
      <c r="AB7" s="16" t="n">
        <f aca="false">D7-P7</f>
        <v>63.5</v>
      </c>
      <c r="AC7" s="16" t="n">
        <f aca="false">E7-Q7</f>
        <v>138</v>
      </c>
      <c r="AD7" s="16" t="n">
        <f aca="false">F7-R7</f>
        <v>4.33333333333337</v>
      </c>
      <c r="AE7" s="16" t="n">
        <f aca="false">G7-S7</f>
        <v>72</v>
      </c>
      <c r="AF7" s="16" t="n">
        <f aca="false">H7-T7</f>
        <v>18</v>
      </c>
      <c r="AG7" s="16" t="n">
        <f aca="false">I7-U7</f>
        <v>3</v>
      </c>
      <c r="AH7" s="16" t="n">
        <f aca="false">J7-V7</f>
        <v>-1</v>
      </c>
      <c r="AI7" s="16" t="n">
        <f aca="false">K7-W7</f>
        <v>44.6666666666667</v>
      </c>
      <c r="AJ7" s="16" t="n">
        <f aca="false">L7-X7</f>
        <v>104</v>
      </c>
      <c r="AK7" s="16" t="n">
        <f aca="false">M7-Y7</f>
        <v>57</v>
      </c>
      <c r="AL7" s="16" t="n">
        <f aca="false">N7-Z7</f>
        <v>67</v>
      </c>
    </row>
    <row r="8" customFormat="false" ht="15" hidden="false" customHeight="false" outlineLevel="0" collapsed="false">
      <c r="A8" s="6" t="s">
        <v>105</v>
      </c>
      <c r="B8" s="7" t="s">
        <v>106</v>
      </c>
      <c r="C8" s="38" t="s">
        <v>179</v>
      </c>
      <c r="D8" s="16" t="n">
        <f aca="false">AVERAGEIF('Echuca Games For'!$A$5:$A$25,D$5,'Echuca Games For'!F$5:F$25)</f>
        <v>242</v>
      </c>
      <c r="E8" s="16" t="n">
        <f aca="false">AVERAGEIF('Echuca Games For'!$A$5:$A$25,E$5,'Echuca Games For'!F$5:F$25)</f>
        <v>256</v>
      </c>
      <c r="F8" s="16" t="n">
        <f aca="false">AVERAGEIF('Echuca Games For'!$A$5:$A$25,F$5,'Echuca Games For'!F$5:F$25)</f>
        <v>213.666666666667</v>
      </c>
      <c r="G8" s="16" t="n">
        <f aca="false">AVERAGEIF('Echuca Games For'!$A$5:$A$25,G$5,'Echuca Games For'!F$5:F$25)</f>
        <v>237</v>
      </c>
      <c r="H8" s="16" t="n">
        <f aca="false">AVERAGEIF('Echuca Games For'!$A$5:$A$25,H$5,'Echuca Games For'!F$5:F$25)</f>
        <v>228.5</v>
      </c>
      <c r="I8" s="16" t="n">
        <f aca="false">AVERAGEIF('Echuca Games For'!$A$5:$A$25,I$5,'Echuca Games For'!F$5:F$25)</f>
        <v>230.5</v>
      </c>
      <c r="J8" s="16" t="n">
        <f aca="false">AVERAGEIF('Echuca Games For'!$A$5:$A$25,J$5,'Echuca Games For'!F$5:F$25)</f>
        <v>221</v>
      </c>
      <c r="K8" s="16" t="n">
        <f aca="false">AVERAGEIF('Echuca Games For'!$A$5:$A$25,K$5,'Echuca Games For'!F$5:F$25)</f>
        <v>224</v>
      </c>
      <c r="L8" s="16" t="n">
        <f aca="false">AVERAGEIF('Echuca Games For'!$A$5:$A$25,L$5,'Echuca Games For'!F$5:F$25)</f>
        <v>260</v>
      </c>
      <c r="M8" s="16" t="n">
        <f aca="false">AVERAGEIF('Echuca Games For'!$A$5:$A$25,M$5,'Echuca Games For'!F$5:F$25)</f>
        <v>226</v>
      </c>
      <c r="N8" s="16" t="n">
        <f aca="false">AVERAGEIF('Echuca Games For'!$A$5:$A$25,N$5,'Echuca Games For'!F$5:F$25)</f>
        <v>233</v>
      </c>
      <c r="P8" s="16" t="n">
        <f aca="false">AVERAGEIF('Echuca Games Against'!$A$5:$A$25,D$5,'Echuca Games Against'!F$5:F$25)</f>
        <v>203.5</v>
      </c>
      <c r="Q8" s="16" t="n">
        <f aca="false">AVERAGEIF('Echuca Games Against'!$A$5:$A$25,E$5,'Echuca Games Against'!F$5:F$25)</f>
        <v>175</v>
      </c>
      <c r="R8" s="16" t="n">
        <f aca="false">AVERAGEIF('Echuca Games Against'!$A$5:$A$25,F$5,'Echuca Games Against'!F$5:F$25)</f>
        <v>220.333333333333</v>
      </c>
      <c r="S8" s="16" t="n">
        <f aca="false">AVERAGEIF('Echuca Games Against'!$A$5:$A$25,G$5,'Echuca Games Against'!F$5:F$25)</f>
        <v>197</v>
      </c>
      <c r="T8" s="16" t="n">
        <f aca="false">AVERAGEIF('Echuca Games Against'!$A$5:$A$25,H$5,'Echuca Games Against'!F$5:F$25)</f>
        <v>194.5</v>
      </c>
      <c r="U8" s="16" t="n">
        <f aca="false">AVERAGEIF('Echuca Games Against'!$A$5:$A$25,I$5,'Echuca Games Against'!F$5:F$25)</f>
        <v>207.5</v>
      </c>
      <c r="V8" s="16" t="n">
        <f aca="false">AVERAGEIF('Echuca Games Against'!$A$5:$A$25,J$5,'Echuca Games Against'!F$5:F$25)</f>
        <v>228</v>
      </c>
      <c r="W8" s="16" t="n">
        <f aca="false">AVERAGEIF('Echuca Games Against'!$A$5:$A$25,K$5,'Echuca Games Against'!F$5:F$25)</f>
        <v>206</v>
      </c>
      <c r="X8" s="16" t="n">
        <f aca="false">AVERAGEIF('Echuca Games Against'!$A$5:$A$25,L$5,'Echuca Games Against'!F$5:F$25)</f>
        <v>202</v>
      </c>
      <c r="Y8" s="16" t="n">
        <f aca="false">AVERAGEIF('Echuca Games Against'!$A$5:$A$25,M$5,'Echuca Games Against'!F$5:F$25)</f>
        <v>208.5</v>
      </c>
      <c r="Z8" s="16" t="n">
        <f aca="false">AVERAGEIF('Echuca Games Against'!$A$5:$A$25,N$5,'Echuca Games Against'!F$5:F$25)</f>
        <v>220</v>
      </c>
      <c r="AB8" s="16" t="n">
        <f aca="false">D8-P8</f>
        <v>38.5</v>
      </c>
      <c r="AC8" s="16" t="n">
        <f aca="false">E8-Q8</f>
        <v>81</v>
      </c>
      <c r="AD8" s="16" t="n">
        <f aca="false">F8-R8</f>
        <v>-6.66666666666669</v>
      </c>
      <c r="AE8" s="16" t="n">
        <f aca="false">G8-S8</f>
        <v>40</v>
      </c>
      <c r="AF8" s="16" t="n">
        <f aca="false">H8-T8</f>
        <v>34</v>
      </c>
      <c r="AG8" s="16" t="n">
        <f aca="false">I8-U8</f>
        <v>23</v>
      </c>
      <c r="AH8" s="16" t="n">
        <f aca="false">J8-V8</f>
        <v>-7</v>
      </c>
      <c r="AI8" s="16" t="n">
        <f aca="false">K8-W8</f>
        <v>18</v>
      </c>
      <c r="AJ8" s="16" t="n">
        <f aca="false">L8-X8</f>
        <v>58</v>
      </c>
      <c r="AK8" s="16" t="n">
        <f aca="false">M8-Y8</f>
        <v>17.5</v>
      </c>
      <c r="AL8" s="16" t="n">
        <f aca="false">N8-Z8</f>
        <v>13</v>
      </c>
    </row>
    <row r="9" customFormat="false" ht="15" hidden="false" customHeight="false" outlineLevel="0" collapsed="false">
      <c r="A9" s="6" t="s">
        <v>85</v>
      </c>
      <c r="B9" s="7" t="s">
        <v>86</v>
      </c>
      <c r="C9" s="38" t="s">
        <v>179</v>
      </c>
      <c r="D9" s="16" t="n">
        <f aca="false">AVERAGEIF('Echuca Games For'!$A$5:$A$25,D$5,'Echuca Games For'!G$5:G$25)</f>
        <v>136.5</v>
      </c>
      <c r="E9" s="16" t="n">
        <f aca="false">AVERAGEIF('Echuca Games For'!$A$5:$A$25,E$5,'Echuca Games For'!G$5:G$25)</f>
        <v>174</v>
      </c>
      <c r="F9" s="16" t="n">
        <f aca="false">AVERAGEIF('Echuca Games For'!$A$5:$A$25,F$5,'Echuca Games For'!G$5:G$25)</f>
        <v>133</v>
      </c>
      <c r="G9" s="16" t="n">
        <f aca="false">AVERAGEIF('Echuca Games For'!$A$5:$A$25,G$5,'Echuca Games For'!G$5:G$25)</f>
        <v>143</v>
      </c>
      <c r="H9" s="16" t="n">
        <f aca="false">AVERAGEIF('Echuca Games For'!$A$5:$A$25,H$5,'Echuca Games For'!G$5:G$25)</f>
        <v>121.5</v>
      </c>
      <c r="I9" s="16" t="n">
        <f aca="false">AVERAGEIF('Echuca Games For'!$A$5:$A$25,I$5,'Echuca Games For'!G$5:G$25)</f>
        <v>132</v>
      </c>
      <c r="J9" s="16" t="n">
        <f aca="false">AVERAGEIF('Echuca Games For'!$A$5:$A$25,J$5,'Echuca Games For'!G$5:G$25)</f>
        <v>130.5</v>
      </c>
      <c r="K9" s="16" t="n">
        <f aca="false">AVERAGEIF('Echuca Games For'!$A$5:$A$25,K$5,'Echuca Games For'!G$5:G$25)</f>
        <v>144</v>
      </c>
      <c r="L9" s="16" t="n">
        <f aca="false">AVERAGEIF('Echuca Games For'!$A$5:$A$25,L$5,'Echuca Games For'!G$5:G$25)</f>
        <v>179</v>
      </c>
      <c r="M9" s="16" t="n">
        <f aca="false">AVERAGEIF('Echuca Games For'!$A$5:$A$25,M$5,'Echuca Games For'!G$5:G$25)</f>
        <v>153.5</v>
      </c>
      <c r="N9" s="16" t="n">
        <f aca="false">AVERAGEIF('Echuca Games For'!$A$5:$A$25,N$5,'Echuca Games For'!G$5:G$25)</f>
        <v>159</v>
      </c>
      <c r="P9" s="16" t="n">
        <f aca="false">AVERAGEIF('Echuca Games Against'!$A$5:$A$25,D$5,'Echuca Games Against'!G$5:G$25)</f>
        <v>111.5</v>
      </c>
      <c r="Q9" s="16" t="n">
        <f aca="false">AVERAGEIF('Echuca Games Against'!$A$5:$A$25,E$5,'Echuca Games Against'!G$5:G$25)</f>
        <v>117</v>
      </c>
      <c r="R9" s="16" t="n">
        <f aca="false">AVERAGEIF('Echuca Games Against'!$A$5:$A$25,F$5,'Echuca Games Against'!G$5:G$25)</f>
        <v>122</v>
      </c>
      <c r="S9" s="16" t="n">
        <f aca="false">AVERAGEIF('Echuca Games Against'!$A$5:$A$25,G$5,'Echuca Games Against'!G$5:G$25)</f>
        <v>111</v>
      </c>
      <c r="T9" s="16" t="n">
        <f aca="false">AVERAGEIF('Echuca Games Against'!$A$5:$A$25,H$5,'Echuca Games Against'!G$5:G$25)</f>
        <v>137.5</v>
      </c>
      <c r="U9" s="16" t="n">
        <f aca="false">AVERAGEIF('Echuca Games Against'!$A$5:$A$25,I$5,'Echuca Games Against'!G$5:G$25)</f>
        <v>152</v>
      </c>
      <c r="V9" s="16" t="n">
        <f aca="false">AVERAGEIF('Echuca Games Against'!$A$5:$A$25,J$5,'Echuca Games Against'!G$5:G$25)</f>
        <v>124.5</v>
      </c>
      <c r="W9" s="16" t="n">
        <f aca="false">AVERAGEIF('Echuca Games Against'!$A$5:$A$25,K$5,'Echuca Games Against'!G$5:G$25)</f>
        <v>117.333333333333</v>
      </c>
      <c r="X9" s="16" t="n">
        <f aca="false">AVERAGEIF('Echuca Games Against'!$A$5:$A$25,L$5,'Echuca Games Against'!G$5:G$25)</f>
        <v>133</v>
      </c>
      <c r="Y9" s="16" t="n">
        <f aca="false">AVERAGEIF('Echuca Games Against'!$A$5:$A$25,M$5,'Echuca Games Against'!G$5:G$25)</f>
        <v>114</v>
      </c>
      <c r="Z9" s="16" t="n">
        <f aca="false">AVERAGEIF('Echuca Games Against'!$A$5:$A$25,N$5,'Echuca Games Against'!G$5:G$25)</f>
        <v>105</v>
      </c>
      <c r="AB9" s="16" t="n">
        <f aca="false">D9-P9</f>
        <v>25</v>
      </c>
      <c r="AC9" s="16" t="n">
        <f aca="false">E9-Q9</f>
        <v>57</v>
      </c>
      <c r="AD9" s="16" t="n">
        <f aca="false">F9-R9</f>
        <v>11</v>
      </c>
      <c r="AE9" s="16" t="n">
        <f aca="false">G9-S9</f>
        <v>32</v>
      </c>
      <c r="AF9" s="16" t="n">
        <f aca="false">H9-T9</f>
        <v>-16</v>
      </c>
      <c r="AG9" s="16" t="n">
        <f aca="false">I9-U9</f>
        <v>-20</v>
      </c>
      <c r="AH9" s="16" t="n">
        <f aca="false">J9-V9</f>
        <v>6</v>
      </c>
      <c r="AI9" s="16" t="n">
        <f aca="false">K9-W9</f>
        <v>26.6666666666667</v>
      </c>
      <c r="AJ9" s="16" t="n">
        <f aca="false">L9-X9</f>
        <v>46</v>
      </c>
      <c r="AK9" s="16" t="n">
        <f aca="false">M9-Y9</f>
        <v>39.5</v>
      </c>
      <c r="AL9" s="16" t="n">
        <f aca="false">N9-Z9</f>
        <v>54</v>
      </c>
    </row>
    <row r="10" customFormat="false" ht="15" hidden="false" customHeight="false" outlineLevel="0" collapsed="false">
      <c r="A10" s="6" t="s">
        <v>49</v>
      </c>
      <c r="B10" s="7" t="s">
        <v>50</v>
      </c>
      <c r="C10" s="38" t="s">
        <v>179</v>
      </c>
      <c r="D10" s="16" t="n">
        <f aca="false">AVERAGEIF('Echuca Games For'!$A$5:$A$25,D$5,'Echuca Games For'!H$5:H$25)</f>
        <v>139.5</v>
      </c>
      <c r="E10" s="16" t="n">
        <f aca="false">AVERAGEIF('Echuca Games For'!$A$5:$A$25,E$5,'Echuca Games For'!H$5:H$25)</f>
        <v>136</v>
      </c>
      <c r="F10" s="16" t="n">
        <f aca="false">AVERAGEIF('Echuca Games For'!$A$5:$A$25,F$5,'Echuca Games For'!H$5:H$25)</f>
        <v>152.666666666667</v>
      </c>
      <c r="G10" s="16" t="n">
        <f aca="false">AVERAGEIF('Echuca Games For'!$A$5:$A$25,G$5,'Echuca Games For'!H$5:H$25)</f>
        <v>175</v>
      </c>
      <c r="H10" s="16" t="n">
        <f aca="false">AVERAGEIF('Echuca Games For'!$A$5:$A$25,H$5,'Echuca Games For'!H$5:H$25)</f>
        <v>146</v>
      </c>
      <c r="I10" s="16" t="n">
        <f aca="false">AVERAGEIF('Echuca Games For'!$A$5:$A$25,I$5,'Echuca Games For'!H$5:H$25)</f>
        <v>156</v>
      </c>
      <c r="J10" s="16" t="n">
        <f aca="false">AVERAGEIF('Echuca Games For'!$A$5:$A$25,J$5,'Echuca Games For'!H$5:H$25)</f>
        <v>159</v>
      </c>
      <c r="K10" s="16" t="n">
        <f aca="false">AVERAGEIF('Echuca Games For'!$A$5:$A$25,K$5,'Echuca Games For'!H$5:H$25)</f>
        <v>157.333333333333</v>
      </c>
      <c r="L10" s="16" t="n">
        <f aca="false">AVERAGEIF('Echuca Games For'!$A$5:$A$25,L$5,'Echuca Games For'!H$5:H$25)</f>
        <v>170</v>
      </c>
      <c r="M10" s="16" t="n">
        <f aca="false">AVERAGEIF('Echuca Games For'!$A$5:$A$25,M$5,'Echuca Games For'!H$5:H$25)</f>
        <v>137.5</v>
      </c>
      <c r="N10" s="16" t="n">
        <f aca="false">AVERAGEIF('Echuca Games For'!$A$5:$A$25,N$5,'Echuca Games For'!H$5:H$25)</f>
        <v>162</v>
      </c>
      <c r="P10" s="16" t="n">
        <f aca="false">AVERAGEIF('Echuca Games Against'!$A$5:$A$25,D$5,'Echuca Games Against'!H$5:H$25)</f>
        <v>136</v>
      </c>
      <c r="Q10" s="16" t="n">
        <f aca="false">AVERAGEIF('Echuca Games Against'!$A$5:$A$25,E$5,'Echuca Games Against'!H$5:H$25)</f>
        <v>114</v>
      </c>
      <c r="R10" s="16" t="n">
        <f aca="false">AVERAGEIF('Echuca Games Against'!$A$5:$A$25,F$5,'Echuca Games Against'!H$5:H$25)</f>
        <v>141.333333333333</v>
      </c>
      <c r="S10" s="16" t="n">
        <f aca="false">AVERAGEIF('Echuca Games Against'!$A$5:$A$25,G$5,'Echuca Games Against'!H$5:H$25)</f>
        <v>154</v>
      </c>
      <c r="T10" s="16" t="n">
        <f aca="false">AVERAGEIF('Echuca Games Against'!$A$5:$A$25,H$5,'Echuca Games Against'!H$5:H$25)</f>
        <v>126.5</v>
      </c>
      <c r="U10" s="16" t="n">
        <f aca="false">AVERAGEIF('Echuca Games Against'!$A$5:$A$25,I$5,'Echuca Games Against'!H$5:H$25)</f>
        <v>151</v>
      </c>
      <c r="V10" s="16" t="n">
        <f aca="false">AVERAGEIF('Echuca Games Against'!$A$5:$A$25,J$5,'Echuca Games Against'!H$5:H$25)</f>
        <v>157</v>
      </c>
      <c r="W10" s="16" t="n">
        <f aca="false">AVERAGEIF('Echuca Games Against'!$A$5:$A$25,K$5,'Echuca Games Against'!H$5:H$25)</f>
        <v>150.666666666667</v>
      </c>
      <c r="X10" s="16" t="n">
        <f aca="false">AVERAGEIF('Echuca Games Against'!$A$5:$A$25,L$5,'Echuca Games Against'!H$5:H$25)</f>
        <v>132</v>
      </c>
      <c r="Y10" s="16" t="n">
        <f aca="false">AVERAGEIF('Echuca Games Against'!$A$5:$A$25,M$5,'Echuca Games Against'!H$5:H$25)</f>
        <v>121</v>
      </c>
      <c r="Z10" s="16" t="n">
        <f aca="false">AVERAGEIF('Echuca Games Against'!$A$5:$A$25,N$5,'Echuca Games Against'!H$5:H$25)</f>
        <v>114.5</v>
      </c>
      <c r="AB10" s="16" t="n">
        <f aca="false">D10-P10</f>
        <v>3.5</v>
      </c>
      <c r="AC10" s="16" t="n">
        <f aca="false">E10-Q10</f>
        <v>22</v>
      </c>
      <c r="AD10" s="16" t="n">
        <f aca="false">F10-R10</f>
        <v>11.3333333333333</v>
      </c>
      <c r="AE10" s="16" t="n">
        <f aca="false">G10-S10</f>
        <v>21</v>
      </c>
      <c r="AF10" s="16" t="n">
        <f aca="false">H10-T10</f>
        <v>19.5</v>
      </c>
      <c r="AG10" s="16" t="n">
        <f aca="false">I10-U10</f>
        <v>5</v>
      </c>
      <c r="AH10" s="16" t="n">
        <f aca="false">J10-V10</f>
        <v>2</v>
      </c>
      <c r="AI10" s="16" t="n">
        <f aca="false">K10-W10</f>
        <v>6.66666666666669</v>
      </c>
      <c r="AJ10" s="16" t="n">
        <f aca="false">L10-X10</f>
        <v>38</v>
      </c>
      <c r="AK10" s="16" t="n">
        <f aca="false">M10-Y10</f>
        <v>16.5</v>
      </c>
      <c r="AL10" s="16" t="n">
        <f aca="false">N10-Z10</f>
        <v>47.5</v>
      </c>
    </row>
    <row r="11" customFormat="false" ht="15" hidden="false" customHeight="false" outlineLevel="0" collapsed="false">
      <c r="A11" s="6" t="s">
        <v>155</v>
      </c>
      <c r="B11" s="7" t="s">
        <v>156</v>
      </c>
      <c r="C11" s="38" t="s">
        <v>179</v>
      </c>
      <c r="D11" s="16" t="n">
        <f aca="false">AVERAGEIF('Echuca Games For'!$A$5:$A$25,D$5,'Echuca Games For'!I$5:I$25)</f>
        <v>87.5</v>
      </c>
      <c r="E11" s="16" t="n">
        <f aca="false">AVERAGEIF('Echuca Games For'!$A$5:$A$25,E$5,'Echuca Games For'!I$5:I$25)</f>
        <v>99</v>
      </c>
      <c r="F11" s="16" t="n">
        <f aca="false">AVERAGEIF('Echuca Games For'!$A$5:$A$25,F$5,'Echuca Games For'!I$5:I$25)</f>
        <v>105</v>
      </c>
      <c r="G11" s="16" t="n">
        <f aca="false">AVERAGEIF('Echuca Games For'!$A$5:$A$25,G$5,'Echuca Games For'!I$5:I$25)</f>
        <v>126</v>
      </c>
      <c r="H11" s="16" t="n">
        <f aca="false">AVERAGEIF('Echuca Games For'!$A$5:$A$25,H$5,'Echuca Games For'!I$5:I$25)</f>
        <v>85</v>
      </c>
      <c r="I11" s="16" t="n">
        <f aca="false">AVERAGEIF('Echuca Games For'!$A$5:$A$25,I$5,'Echuca Games For'!I$5:I$25)</f>
        <v>105.5</v>
      </c>
      <c r="J11" s="16" t="n">
        <f aca="false">AVERAGEIF('Echuca Games For'!$A$5:$A$25,J$5,'Echuca Games For'!I$5:I$25)</f>
        <v>104.5</v>
      </c>
      <c r="K11" s="16" t="n">
        <f aca="false">AVERAGEIF('Echuca Games For'!$A$5:$A$25,K$5,'Echuca Games For'!I$5:I$25)</f>
        <v>101.666666666667</v>
      </c>
      <c r="L11" s="16" t="n">
        <f aca="false">AVERAGEIF('Echuca Games For'!$A$5:$A$25,L$5,'Echuca Games For'!I$5:I$25)</f>
        <v>115</v>
      </c>
      <c r="M11" s="16" t="n">
        <f aca="false">AVERAGEIF('Echuca Games For'!$A$5:$A$25,M$5,'Echuca Games For'!I$5:I$25)</f>
        <v>90</v>
      </c>
      <c r="N11" s="16" t="n">
        <f aca="false">AVERAGEIF('Echuca Games For'!$A$5:$A$25,N$5,'Echuca Games For'!I$5:I$25)</f>
        <v>99.5</v>
      </c>
      <c r="P11" s="16" t="n">
        <f aca="false">AVERAGEIF('Echuca Games Against'!$A$5:$A$25,D$5,'Echuca Games Against'!I$5:I$25)</f>
        <v>80</v>
      </c>
      <c r="Q11" s="16" t="n">
        <f aca="false">AVERAGEIF('Echuca Games Against'!$A$5:$A$25,E$5,'Echuca Games Against'!I$5:I$25)</f>
        <v>69</v>
      </c>
      <c r="R11" s="16" t="n">
        <f aca="false">AVERAGEIF('Echuca Games Against'!$A$5:$A$25,F$5,'Echuca Games Against'!I$5:I$25)</f>
        <v>88.3333333333333</v>
      </c>
      <c r="S11" s="16" t="n">
        <f aca="false">AVERAGEIF('Echuca Games Against'!$A$5:$A$25,G$5,'Echuca Games Against'!I$5:I$25)</f>
        <v>103</v>
      </c>
      <c r="T11" s="16" t="n">
        <f aca="false">AVERAGEIF('Echuca Games Against'!$A$5:$A$25,H$5,'Echuca Games Against'!I$5:I$25)</f>
        <v>72</v>
      </c>
      <c r="U11" s="16" t="n">
        <f aca="false">AVERAGEIF('Echuca Games Against'!$A$5:$A$25,I$5,'Echuca Games Against'!I$5:I$25)</f>
        <v>105</v>
      </c>
      <c r="V11" s="16" t="n">
        <f aca="false">AVERAGEIF('Echuca Games Against'!$A$5:$A$25,J$5,'Echuca Games Against'!I$5:I$25)</f>
        <v>99.5</v>
      </c>
      <c r="W11" s="16" t="n">
        <f aca="false">AVERAGEIF('Echuca Games Against'!$A$5:$A$25,K$5,'Echuca Games Against'!I$5:I$25)</f>
        <v>90.3333333333333</v>
      </c>
      <c r="X11" s="16" t="n">
        <f aca="false">AVERAGEIF('Echuca Games Against'!$A$5:$A$25,L$5,'Echuca Games Against'!I$5:I$25)</f>
        <v>92</v>
      </c>
      <c r="Y11" s="16" t="n">
        <f aca="false">AVERAGEIF('Echuca Games Against'!$A$5:$A$25,M$5,'Echuca Games Against'!I$5:I$25)</f>
        <v>76</v>
      </c>
      <c r="Z11" s="16" t="n">
        <f aca="false">AVERAGEIF('Echuca Games Against'!$A$5:$A$25,N$5,'Echuca Games Against'!I$5:I$25)</f>
        <v>64</v>
      </c>
      <c r="AB11" s="16" t="n">
        <f aca="false">D11-P11</f>
        <v>7.5</v>
      </c>
      <c r="AC11" s="16" t="n">
        <f aca="false">E11-Q11</f>
        <v>30</v>
      </c>
      <c r="AD11" s="16" t="n">
        <f aca="false">F11-R11</f>
        <v>16.6666666666667</v>
      </c>
      <c r="AE11" s="16" t="n">
        <f aca="false">G11-S11</f>
        <v>23</v>
      </c>
      <c r="AF11" s="16" t="n">
        <f aca="false">H11-T11</f>
        <v>13</v>
      </c>
      <c r="AG11" s="16" t="n">
        <f aca="false">I11-U11</f>
        <v>0.5</v>
      </c>
      <c r="AH11" s="16" t="n">
        <f aca="false">J11-V11</f>
        <v>5</v>
      </c>
      <c r="AI11" s="16" t="n">
        <f aca="false">K11-W11</f>
        <v>11.3333333333333</v>
      </c>
      <c r="AJ11" s="16" t="n">
        <f aca="false">L11-X11</f>
        <v>23</v>
      </c>
      <c r="AK11" s="16" t="n">
        <f aca="false">M11-Y11</f>
        <v>14</v>
      </c>
      <c r="AL11" s="16" t="n">
        <f aca="false">N11-Z11</f>
        <v>35.5</v>
      </c>
    </row>
    <row r="12" customFormat="false" ht="15" hidden="false" customHeight="false" outlineLevel="0" collapsed="false">
      <c r="A12" s="6" t="s">
        <v>87</v>
      </c>
      <c r="B12" s="7" t="s">
        <v>88</v>
      </c>
      <c r="C12" s="38" t="s">
        <v>179</v>
      </c>
      <c r="D12" s="16" t="n">
        <f aca="false">AVERAGEIF('Echuca Games For'!$A$5:$A$25,D$5,'Echuca Games For'!J$5:J$25)</f>
        <v>29.5</v>
      </c>
      <c r="E12" s="16" t="n">
        <f aca="false">AVERAGEIF('Echuca Games For'!$A$5:$A$25,E$5,'Echuca Games For'!J$5:J$25)</f>
        <v>44</v>
      </c>
      <c r="F12" s="16" t="n">
        <f aca="false">AVERAGEIF('Echuca Games For'!$A$5:$A$25,F$5,'Echuca Games For'!J$5:J$25)</f>
        <v>34.3333333333333</v>
      </c>
      <c r="G12" s="16" t="n">
        <f aca="false">AVERAGEIF('Echuca Games For'!$A$5:$A$25,G$5,'Echuca Games For'!J$5:J$25)</f>
        <v>50</v>
      </c>
      <c r="H12" s="16" t="n">
        <f aca="false">AVERAGEIF('Echuca Games For'!$A$5:$A$25,H$5,'Echuca Games For'!J$5:J$25)</f>
        <v>28</v>
      </c>
      <c r="I12" s="16" t="n">
        <f aca="false">AVERAGEIF('Echuca Games For'!$A$5:$A$25,I$5,'Echuca Games For'!J$5:J$25)</f>
        <v>43</v>
      </c>
      <c r="J12" s="16" t="n">
        <f aca="false">AVERAGEIF('Echuca Games For'!$A$5:$A$25,J$5,'Echuca Games For'!J$5:J$25)</f>
        <v>30.5</v>
      </c>
      <c r="K12" s="16" t="n">
        <f aca="false">AVERAGEIF('Echuca Games For'!$A$5:$A$25,K$5,'Echuca Games For'!J$5:J$25)</f>
        <v>35.6666666666667</v>
      </c>
      <c r="L12" s="16" t="n">
        <f aca="false">AVERAGEIF('Echuca Games For'!$A$5:$A$25,L$5,'Echuca Games For'!J$5:J$25)</f>
        <v>38</v>
      </c>
      <c r="M12" s="16" t="n">
        <f aca="false">AVERAGEIF('Echuca Games For'!$A$5:$A$25,M$5,'Echuca Games For'!J$5:J$25)</f>
        <v>26</v>
      </c>
      <c r="N12" s="16" t="n">
        <f aca="false">AVERAGEIF('Echuca Games For'!$A$5:$A$25,N$5,'Echuca Games For'!J$5:J$25)</f>
        <v>30.5</v>
      </c>
      <c r="P12" s="16" t="n">
        <f aca="false">AVERAGEIF('Echuca Games Against'!$A$5:$A$25,D$5,'Echuca Games Against'!J$5:J$25)</f>
        <v>28</v>
      </c>
      <c r="Q12" s="16" t="n">
        <f aca="false">AVERAGEIF('Echuca Games Against'!$A$5:$A$25,E$5,'Echuca Games Against'!J$5:J$25)</f>
        <v>31</v>
      </c>
      <c r="R12" s="16" t="n">
        <f aca="false">AVERAGEIF('Echuca Games Against'!$A$5:$A$25,F$5,'Echuca Games Against'!J$5:J$25)</f>
        <v>28.3333333333333</v>
      </c>
      <c r="S12" s="16" t="n">
        <f aca="false">AVERAGEIF('Echuca Games Against'!$A$5:$A$25,G$5,'Echuca Games Against'!J$5:J$25)</f>
        <v>38</v>
      </c>
      <c r="T12" s="16" t="n">
        <f aca="false">AVERAGEIF('Echuca Games Against'!$A$5:$A$25,H$5,'Echuca Games Against'!J$5:J$25)</f>
        <v>28</v>
      </c>
      <c r="U12" s="16" t="n">
        <f aca="false">AVERAGEIF('Echuca Games Against'!$A$5:$A$25,I$5,'Echuca Games Against'!J$5:J$25)</f>
        <v>48</v>
      </c>
      <c r="V12" s="16" t="n">
        <f aca="false">AVERAGEIF('Echuca Games Against'!$A$5:$A$25,J$5,'Echuca Games Against'!J$5:J$25)</f>
        <v>24.5</v>
      </c>
      <c r="W12" s="16" t="n">
        <f aca="false">AVERAGEIF('Echuca Games Against'!$A$5:$A$25,K$5,'Echuca Games Against'!J$5:J$25)</f>
        <v>29.3333333333333</v>
      </c>
      <c r="X12" s="16" t="n">
        <f aca="false">AVERAGEIF('Echuca Games Against'!$A$5:$A$25,L$5,'Echuca Games Against'!J$5:J$25)</f>
        <v>42</v>
      </c>
      <c r="Y12" s="16" t="n">
        <f aca="false">AVERAGEIF('Echuca Games Against'!$A$5:$A$25,M$5,'Echuca Games Against'!J$5:J$25)</f>
        <v>25.5</v>
      </c>
      <c r="Z12" s="16" t="n">
        <f aca="false">AVERAGEIF('Echuca Games Against'!$A$5:$A$25,N$5,'Echuca Games Against'!J$5:J$25)</f>
        <v>24.5</v>
      </c>
      <c r="AB12" s="16" t="n">
        <f aca="false">D12-P12</f>
        <v>1.5</v>
      </c>
      <c r="AC12" s="16" t="n">
        <f aca="false">E12-Q12</f>
        <v>13</v>
      </c>
      <c r="AD12" s="16" t="n">
        <f aca="false">F12-R12</f>
        <v>6</v>
      </c>
      <c r="AE12" s="16" t="n">
        <f aca="false">G12-S12</f>
        <v>12</v>
      </c>
      <c r="AF12" s="16" t="n">
        <f aca="false">H12-T12</f>
        <v>0</v>
      </c>
      <c r="AG12" s="16" t="n">
        <f aca="false">I12-U12</f>
        <v>-5</v>
      </c>
      <c r="AH12" s="16" t="n">
        <f aca="false">J12-V12</f>
        <v>6</v>
      </c>
      <c r="AI12" s="16" t="n">
        <f aca="false">K12-W12</f>
        <v>6.33333333333333</v>
      </c>
      <c r="AJ12" s="16" t="n">
        <f aca="false">L12-X12</f>
        <v>-4</v>
      </c>
      <c r="AK12" s="16" t="n">
        <f aca="false">M12-Y12</f>
        <v>0.5</v>
      </c>
      <c r="AL12" s="16" t="n">
        <f aca="false">N12-Z12</f>
        <v>6</v>
      </c>
    </row>
    <row r="13" customFormat="false" ht="15" hidden="false" customHeight="false" outlineLevel="0" collapsed="false">
      <c r="A13" s="6" t="s">
        <v>117</v>
      </c>
      <c r="B13" s="7" t="s">
        <v>118</v>
      </c>
      <c r="C13" s="38" t="s">
        <v>179</v>
      </c>
      <c r="D13" s="16" t="n">
        <f aca="false">AVERAGEIF('Echuca Games For'!$A$5:$A$25,D$5,'Echuca Games For'!K$5:K$25)</f>
        <v>58</v>
      </c>
      <c r="E13" s="16" t="n">
        <f aca="false">AVERAGEIF('Echuca Games For'!$A$5:$A$25,E$5,'Echuca Games For'!K$5:K$25)</f>
        <v>55</v>
      </c>
      <c r="F13" s="16" t="n">
        <f aca="false">AVERAGEIF('Echuca Games For'!$A$5:$A$25,F$5,'Echuca Games For'!K$5:K$25)</f>
        <v>70.6666666666667</v>
      </c>
      <c r="G13" s="16" t="n">
        <f aca="false">AVERAGEIF('Echuca Games For'!$A$5:$A$25,G$5,'Echuca Games For'!K$5:K$25)</f>
        <v>76</v>
      </c>
      <c r="H13" s="16" t="n">
        <f aca="false">AVERAGEIF('Echuca Games For'!$A$5:$A$25,H$5,'Echuca Games For'!K$5:K$25)</f>
        <v>57</v>
      </c>
      <c r="I13" s="16" t="n">
        <f aca="false">AVERAGEIF('Echuca Games For'!$A$5:$A$25,I$5,'Echuca Games For'!K$5:K$25)</f>
        <v>62.5</v>
      </c>
      <c r="J13" s="16" t="n">
        <f aca="false">AVERAGEIF('Echuca Games For'!$A$5:$A$25,J$5,'Echuca Games For'!K$5:K$25)</f>
        <v>74</v>
      </c>
      <c r="K13" s="16" t="n">
        <f aca="false">AVERAGEIF('Echuca Games For'!$A$5:$A$25,K$5,'Echuca Games For'!K$5:K$25)</f>
        <v>66</v>
      </c>
      <c r="L13" s="16" t="n">
        <f aca="false">AVERAGEIF('Echuca Games For'!$A$5:$A$25,L$5,'Echuca Games For'!K$5:K$25)</f>
        <v>77</v>
      </c>
      <c r="M13" s="16" t="n">
        <f aca="false">AVERAGEIF('Echuca Games For'!$A$5:$A$25,M$5,'Echuca Games For'!K$5:K$25)</f>
        <v>64</v>
      </c>
      <c r="N13" s="16" t="n">
        <f aca="false">AVERAGEIF('Echuca Games For'!$A$5:$A$25,N$5,'Echuca Games For'!K$5:K$25)</f>
        <v>69</v>
      </c>
      <c r="P13" s="16" t="n">
        <f aca="false">AVERAGEIF('Echuca Games Against'!$A$5:$A$25,D$5,'Echuca Games Against'!K$5:K$25)</f>
        <v>52</v>
      </c>
      <c r="Q13" s="16" t="n">
        <f aca="false">AVERAGEIF('Echuca Games Against'!$A$5:$A$25,E$5,'Echuca Games Against'!K$5:K$25)</f>
        <v>38</v>
      </c>
      <c r="R13" s="16" t="n">
        <f aca="false">AVERAGEIF('Echuca Games Against'!$A$5:$A$25,F$5,'Echuca Games Against'!K$5:K$25)</f>
        <v>60</v>
      </c>
      <c r="S13" s="16" t="n">
        <f aca="false">AVERAGEIF('Echuca Games Against'!$A$5:$A$25,G$5,'Echuca Games Against'!K$5:K$25)</f>
        <v>65</v>
      </c>
      <c r="T13" s="16" t="n">
        <f aca="false">AVERAGEIF('Echuca Games Against'!$A$5:$A$25,H$5,'Echuca Games Against'!K$5:K$25)</f>
        <v>44</v>
      </c>
      <c r="U13" s="16" t="n">
        <f aca="false">AVERAGEIF('Echuca Games Against'!$A$5:$A$25,I$5,'Echuca Games Against'!K$5:K$25)</f>
        <v>57</v>
      </c>
      <c r="V13" s="16" t="n">
        <f aca="false">AVERAGEIF('Echuca Games Against'!$A$5:$A$25,J$5,'Echuca Games Against'!K$5:K$25)</f>
        <v>75</v>
      </c>
      <c r="W13" s="16" t="n">
        <f aca="false">AVERAGEIF('Echuca Games Against'!$A$5:$A$25,K$5,'Echuca Games Against'!K$5:K$25)</f>
        <v>61</v>
      </c>
      <c r="X13" s="16" t="n">
        <f aca="false">AVERAGEIF('Echuca Games Against'!$A$5:$A$25,L$5,'Echuca Games Against'!K$5:K$25)</f>
        <v>50</v>
      </c>
      <c r="Y13" s="16" t="n">
        <f aca="false">AVERAGEIF('Echuca Games Against'!$A$5:$A$25,M$5,'Echuca Games Against'!K$5:K$25)</f>
        <v>50.5</v>
      </c>
      <c r="Z13" s="16" t="n">
        <f aca="false">AVERAGEIF('Echuca Games Against'!$A$5:$A$25,N$5,'Echuca Games Against'!K$5:K$25)</f>
        <v>39.5</v>
      </c>
      <c r="AB13" s="16" t="n">
        <f aca="false">D13-P13</f>
        <v>6</v>
      </c>
      <c r="AC13" s="16" t="n">
        <f aca="false">E13-Q13</f>
        <v>17</v>
      </c>
      <c r="AD13" s="16" t="n">
        <f aca="false">F13-R13</f>
        <v>10.6666666666667</v>
      </c>
      <c r="AE13" s="16" t="n">
        <f aca="false">G13-S13</f>
        <v>11</v>
      </c>
      <c r="AF13" s="16" t="n">
        <f aca="false">H13-T13</f>
        <v>13</v>
      </c>
      <c r="AG13" s="16" t="n">
        <f aca="false">I13-U13</f>
        <v>5.5</v>
      </c>
      <c r="AH13" s="16" t="n">
        <f aca="false">J13-V13</f>
        <v>-1</v>
      </c>
      <c r="AI13" s="16" t="n">
        <f aca="false">K13-W13</f>
        <v>5</v>
      </c>
      <c r="AJ13" s="16" t="n">
        <f aca="false">L13-X13</f>
        <v>27</v>
      </c>
      <c r="AK13" s="16" t="n">
        <f aca="false">M13-Y13</f>
        <v>13.5</v>
      </c>
      <c r="AL13" s="16" t="n">
        <f aca="false">N13-Z13</f>
        <v>29.5</v>
      </c>
    </row>
    <row r="14" customFormat="false" ht="15" hidden="false" customHeight="false" outlineLevel="0" collapsed="false">
      <c r="A14" s="6" t="s">
        <v>103</v>
      </c>
      <c r="B14" s="7" t="s">
        <v>104</v>
      </c>
      <c r="C14" s="38" t="s">
        <v>179</v>
      </c>
      <c r="D14" s="16" t="n">
        <f aca="false">AVERAGEIF('Echuca Games For'!$A$5:$A$25,D$5,'Echuca Games For'!L$5:L$25)</f>
        <v>76</v>
      </c>
      <c r="E14" s="16" t="n">
        <f aca="false">AVERAGEIF('Echuca Games For'!$A$5:$A$25,E$5,'Echuca Games For'!L$5:L$25)</f>
        <v>88</v>
      </c>
      <c r="F14" s="16" t="n">
        <f aca="false">AVERAGEIF('Echuca Games For'!$A$5:$A$25,F$5,'Echuca Games For'!L$5:L$25)</f>
        <v>72.6666666666667</v>
      </c>
      <c r="G14" s="16" t="n">
        <f aca="false">AVERAGEIF('Echuca Games For'!$A$5:$A$25,G$5,'Echuca Games For'!L$5:L$25)</f>
        <v>81</v>
      </c>
      <c r="H14" s="16" t="n">
        <f aca="false">AVERAGEIF('Echuca Games For'!$A$5:$A$25,H$5,'Echuca Games For'!L$5:L$25)</f>
        <v>72.5</v>
      </c>
      <c r="I14" s="16" t="n">
        <f aca="false">AVERAGEIF('Echuca Games For'!$A$5:$A$25,I$5,'Echuca Games For'!L$5:L$25)</f>
        <v>82.5</v>
      </c>
      <c r="J14" s="16" t="n">
        <f aca="false">AVERAGEIF('Echuca Games For'!$A$5:$A$25,J$5,'Echuca Games For'!L$5:L$25)</f>
        <v>78</v>
      </c>
      <c r="K14" s="16" t="n">
        <f aca="false">AVERAGEIF('Echuca Games For'!$A$5:$A$25,K$5,'Echuca Games For'!L$5:L$25)</f>
        <v>80</v>
      </c>
      <c r="L14" s="16" t="n">
        <f aca="false">AVERAGEIF('Echuca Games For'!$A$5:$A$25,L$5,'Echuca Games For'!L$5:L$25)</f>
        <v>71</v>
      </c>
      <c r="M14" s="16" t="n">
        <f aca="false">AVERAGEIF('Echuca Games For'!$A$5:$A$25,M$5,'Echuca Games For'!L$5:L$25)</f>
        <v>59.5</v>
      </c>
      <c r="N14" s="16" t="n">
        <f aca="false">AVERAGEIF('Echuca Games For'!$A$5:$A$25,N$5,'Echuca Games For'!L$5:L$25)</f>
        <v>62</v>
      </c>
      <c r="P14" s="16" t="n">
        <f aca="false">AVERAGEIF('Echuca Games Against'!$A$5:$A$25,D$5,'Echuca Games Against'!L$5:L$25)</f>
        <v>72</v>
      </c>
      <c r="Q14" s="16" t="n">
        <f aca="false">AVERAGEIF('Echuca Games Against'!$A$5:$A$25,E$5,'Echuca Games Against'!L$5:L$25)</f>
        <v>66</v>
      </c>
      <c r="R14" s="16" t="n">
        <f aca="false">AVERAGEIF('Echuca Games Against'!$A$5:$A$25,F$5,'Echuca Games Against'!L$5:L$25)</f>
        <v>75</v>
      </c>
      <c r="S14" s="16" t="n">
        <f aca="false">AVERAGEIF('Echuca Games Against'!$A$5:$A$25,G$5,'Echuca Games Against'!L$5:L$25)</f>
        <v>81</v>
      </c>
      <c r="T14" s="16" t="n">
        <f aca="false">AVERAGEIF('Echuca Games Against'!$A$5:$A$25,H$5,'Echuca Games Against'!L$5:L$25)</f>
        <v>61.5</v>
      </c>
      <c r="U14" s="16" t="n">
        <f aca="false">AVERAGEIF('Echuca Games Against'!$A$5:$A$25,I$5,'Echuca Games Against'!L$5:L$25)</f>
        <v>78.5</v>
      </c>
      <c r="V14" s="16" t="n">
        <f aca="false">AVERAGEIF('Echuca Games Against'!$A$5:$A$25,J$5,'Echuca Games Against'!L$5:L$25)</f>
        <v>81</v>
      </c>
      <c r="W14" s="16" t="n">
        <f aca="false">AVERAGEIF('Echuca Games Against'!$A$5:$A$25,K$5,'Echuca Games Against'!L$5:L$25)</f>
        <v>78</v>
      </c>
      <c r="X14" s="16" t="n">
        <f aca="false">AVERAGEIF('Echuca Games Against'!$A$5:$A$25,L$5,'Echuca Games Against'!L$5:L$25)</f>
        <v>74</v>
      </c>
      <c r="Y14" s="16" t="n">
        <f aca="false">AVERAGEIF('Echuca Games Against'!$A$5:$A$25,M$5,'Echuca Games Against'!L$5:L$25)</f>
        <v>67.5</v>
      </c>
      <c r="Z14" s="16" t="n">
        <f aca="false">AVERAGEIF('Echuca Games Against'!$A$5:$A$25,N$5,'Echuca Games Against'!L$5:L$25)</f>
        <v>57</v>
      </c>
      <c r="AB14" s="16" t="n">
        <f aca="false">D14-P14</f>
        <v>4</v>
      </c>
      <c r="AC14" s="16" t="n">
        <f aca="false">E14-Q14</f>
        <v>22</v>
      </c>
      <c r="AD14" s="16" t="n">
        <f aca="false">F14-R14</f>
        <v>-2.33333333333333</v>
      </c>
      <c r="AE14" s="16" t="n">
        <f aca="false">G14-S14</f>
        <v>0</v>
      </c>
      <c r="AF14" s="16" t="n">
        <f aca="false">H14-T14</f>
        <v>11</v>
      </c>
      <c r="AG14" s="16" t="n">
        <f aca="false">I14-U14</f>
        <v>4</v>
      </c>
      <c r="AH14" s="16" t="n">
        <f aca="false">J14-V14</f>
        <v>-3</v>
      </c>
      <c r="AI14" s="16" t="n">
        <f aca="false">K14-W14</f>
        <v>2</v>
      </c>
      <c r="AJ14" s="16" t="n">
        <f aca="false">L14-X14</f>
        <v>-3</v>
      </c>
      <c r="AK14" s="16" t="n">
        <f aca="false">M14-Y14</f>
        <v>-8</v>
      </c>
      <c r="AL14" s="16" t="n">
        <f aca="false">N14-Z14</f>
        <v>5</v>
      </c>
    </row>
    <row r="15" customFormat="false" ht="15" hidden="false" customHeight="false" outlineLevel="0" collapsed="false">
      <c r="A15" s="6" t="s">
        <v>81</v>
      </c>
      <c r="B15" s="7" t="s">
        <v>82</v>
      </c>
      <c r="C15" s="38" t="s">
        <v>179</v>
      </c>
      <c r="D15" s="16" t="n">
        <f aca="false">AVERAGEIF('Echuca Games For'!$A$5:$A$25,D$5,'Echuca Games For'!M$5:M$25)</f>
        <v>47</v>
      </c>
      <c r="E15" s="16" t="n">
        <f aca="false">AVERAGEIF('Echuca Games For'!$A$5:$A$25,E$5,'Echuca Games For'!M$5:M$25)</f>
        <v>52</v>
      </c>
      <c r="F15" s="16" t="n">
        <f aca="false">AVERAGEIF('Echuca Games For'!$A$5:$A$25,F$5,'Echuca Games For'!M$5:M$25)</f>
        <v>43</v>
      </c>
      <c r="G15" s="16" t="n">
        <f aca="false">AVERAGEIF('Echuca Games For'!$A$5:$A$25,G$5,'Echuca Games For'!M$5:M$25)</f>
        <v>45</v>
      </c>
      <c r="H15" s="16" t="n">
        <f aca="false">AVERAGEIF('Echuca Games For'!$A$5:$A$25,H$5,'Echuca Games For'!M$5:M$25)</f>
        <v>40</v>
      </c>
      <c r="I15" s="16" t="n">
        <f aca="false">AVERAGEIF('Echuca Games For'!$A$5:$A$25,I$5,'Echuca Games For'!M$5:M$25)</f>
        <v>51.5</v>
      </c>
      <c r="J15" s="16" t="n">
        <f aca="false">AVERAGEIF('Echuca Games For'!$A$5:$A$25,J$5,'Echuca Games For'!M$5:M$25)</f>
        <v>44.5</v>
      </c>
      <c r="K15" s="16" t="n">
        <f aca="false">AVERAGEIF('Echuca Games For'!$A$5:$A$25,K$5,'Echuca Games For'!M$5:M$25)</f>
        <v>52.3333333333333</v>
      </c>
      <c r="L15" s="16" t="n">
        <f aca="false">AVERAGEIF('Echuca Games For'!$A$5:$A$25,L$5,'Echuca Games For'!M$5:M$25)</f>
        <v>31</v>
      </c>
      <c r="M15" s="16" t="n">
        <f aca="false">AVERAGEIF('Echuca Games For'!$A$5:$A$25,M$5,'Echuca Games For'!M$5:M$25)</f>
        <v>49.5</v>
      </c>
      <c r="N15" s="16" t="n">
        <f aca="false">AVERAGEIF('Echuca Games For'!$A$5:$A$25,N$5,'Echuca Games For'!M$5:M$25)</f>
        <v>45.5</v>
      </c>
      <c r="P15" s="16" t="n">
        <f aca="false">AVERAGEIF('Echuca Games Against'!$A$5:$A$25,D$5,'Echuca Games Against'!M$5:M$25)</f>
        <v>36.5</v>
      </c>
      <c r="Q15" s="16" t="n">
        <f aca="false">AVERAGEIF('Echuca Games Against'!$A$5:$A$25,E$5,'Echuca Games Against'!M$5:M$25)</f>
        <v>31</v>
      </c>
      <c r="R15" s="16" t="n">
        <f aca="false">AVERAGEIF('Echuca Games Against'!$A$5:$A$25,F$5,'Echuca Games Against'!M$5:M$25)</f>
        <v>49</v>
      </c>
      <c r="S15" s="16" t="n">
        <f aca="false">AVERAGEIF('Echuca Games Against'!$A$5:$A$25,G$5,'Echuca Games Against'!M$5:M$25)</f>
        <v>29</v>
      </c>
      <c r="T15" s="16" t="n">
        <f aca="false">AVERAGEIF('Echuca Games Against'!$A$5:$A$25,H$5,'Echuca Games Against'!M$5:M$25)</f>
        <v>50</v>
      </c>
      <c r="U15" s="16" t="n">
        <f aca="false">AVERAGEIF('Echuca Games Against'!$A$5:$A$25,I$5,'Echuca Games Against'!M$5:M$25)</f>
        <v>47</v>
      </c>
      <c r="V15" s="16" t="n">
        <f aca="false">AVERAGEIF('Echuca Games Against'!$A$5:$A$25,J$5,'Echuca Games Against'!M$5:M$25)</f>
        <v>39</v>
      </c>
      <c r="W15" s="16" t="n">
        <f aca="false">AVERAGEIF('Echuca Games Against'!$A$5:$A$25,K$5,'Echuca Games Against'!M$5:M$25)</f>
        <v>52</v>
      </c>
      <c r="X15" s="16" t="n">
        <f aca="false">AVERAGEIF('Echuca Games Against'!$A$5:$A$25,L$5,'Echuca Games Against'!M$5:M$25)</f>
        <v>40</v>
      </c>
      <c r="Y15" s="16" t="n">
        <f aca="false">AVERAGEIF('Echuca Games Against'!$A$5:$A$25,M$5,'Echuca Games Against'!M$5:M$25)</f>
        <v>38</v>
      </c>
      <c r="Z15" s="16" t="n">
        <f aca="false">AVERAGEIF('Echuca Games Against'!$A$5:$A$25,N$5,'Echuca Games Against'!M$5:M$25)</f>
        <v>33.5</v>
      </c>
      <c r="AB15" s="16" t="n">
        <f aca="false">D15-P15</f>
        <v>10.5</v>
      </c>
      <c r="AC15" s="16" t="n">
        <f aca="false">E15-Q15</f>
        <v>21</v>
      </c>
      <c r="AD15" s="16" t="n">
        <f aca="false">F15-R15</f>
        <v>-6</v>
      </c>
      <c r="AE15" s="16" t="n">
        <f aca="false">G15-S15</f>
        <v>16</v>
      </c>
      <c r="AF15" s="16" t="n">
        <f aca="false">H15-T15</f>
        <v>-10</v>
      </c>
      <c r="AG15" s="16" t="n">
        <f aca="false">I15-U15</f>
        <v>4.5</v>
      </c>
      <c r="AH15" s="16" t="n">
        <f aca="false">J15-V15</f>
        <v>5.5</v>
      </c>
      <c r="AI15" s="16" t="n">
        <f aca="false">K15-W15</f>
        <v>0.333333333333336</v>
      </c>
      <c r="AJ15" s="16" t="n">
        <f aca="false">L15-X15</f>
        <v>-9</v>
      </c>
      <c r="AK15" s="16" t="n">
        <f aca="false">M15-Y15</f>
        <v>11.5</v>
      </c>
      <c r="AL15" s="16" t="n">
        <f aca="false">N15-Z15</f>
        <v>12</v>
      </c>
    </row>
    <row r="16" customFormat="false" ht="15" hidden="false" customHeight="false" outlineLevel="0" collapsed="false">
      <c r="A16" s="6" t="s">
        <v>95</v>
      </c>
      <c r="B16" s="7" t="s">
        <v>96</v>
      </c>
      <c r="C16" s="38" t="s">
        <v>181</v>
      </c>
      <c r="D16" s="16" t="n">
        <f aca="false">AVERAGEIF('Echuca Games For'!$A$5:$A$25,D$5,'Echuca Games For'!N$5:N$25)</f>
        <v>9.5</v>
      </c>
      <c r="E16" s="16" t="n">
        <f aca="false">AVERAGEIF('Echuca Games For'!$A$5:$A$25,E$5,'Echuca Games For'!N$5:N$25)</f>
        <v>11</v>
      </c>
      <c r="F16" s="16" t="n">
        <f aca="false">AVERAGEIF('Echuca Games For'!$A$5:$A$25,F$5,'Echuca Games For'!N$5:N$25)</f>
        <v>6.66666666666667</v>
      </c>
      <c r="G16" s="16" t="n">
        <f aca="false">AVERAGEIF('Echuca Games For'!$A$5:$A$25,G$5,'Echuca Games For'!N$5:N$25)</f>
        <v>10</v>
      </c>
      <c r="H16" s="16" t="n">
        <f aca="false">AVERAGEIF('Echuca Games For'!$A$5:$A$25,H$5,'Echuca Games For'!N$5:N$25)</f>
        <v>12</v>
      </c>
      <c r="I16" s="16" t="n">
        <f aca="false">AVERAGEIF('Echuca Games For'!$A$5:$A$25,I$5,'Echuca Games For'!N$5:N$25)</f>
        <v>4.5</v>
      </c>
      <c r="J16" s="16" t="n">
        <f aca="false">AVERAGEIF('Echuca Games For'!$A$5:$A$25,J$5,'Echuca Games For'!N$5:N$25)</f>
        <v>8</v>
      </c>
      <c r="K16" s="16" t="n">
        <f aca="false">AVERAGEIF('Echuca Games For'!$A$5:$A$25,K$5,'Echuca Games For'!N$5:N$25)</f>
        <v>6.66666666666667</v>
      </c>
      <c r="L16" s="16" t="n">
        <f aca="false">AVERAGEIF('Echuca Games For'!$A$5:$A$25,L$5,'Echuca Games For'!N$5:N$25)</f>
        <v>13</v>
      </c>
      <c r="M16" s="16" t="n">
        <f aca="false">AVERAGEIF('Echuca Games For'!$A$5:$A$25,M$5,'Echuca Games For'!N$5:N$25)</f>
        <v>9.5</v>
      </c>
      <c r="N16" s="16" t="n">
        <f aca="false">AVERAGEIF('Echuca Games For'!$A$5:$A$25,N$5,'Echuca Games For'!N$5:N$25)</f>
        <v>6.5</v>
      </c>
      <c r="P16" s="16" t="n">
        <f aca="false">AVERAGEIF('Echuca Games Against'!$A$5:$A$25,D$5,'Echuca Games Against'!N$5:N$25)</f>
        <v>5.5</v>
      </c>
      <c r="Q16" s="16" t="n">
        <f aca="false">AVERAGEIF('Echuca Games Against'!$A$5:$A$25,E$5,'Echuca Games Against'!N$5:N$25)</f>
        <v>12</v>
      </c>
      <c r="R16" s="16" t="n">
        <f aca="false">AVERAGEIF('Echuca Games Against'!$A$5:$A$25,F$5,'Echuca Games Against'!N$5:N$25)</f>
        <v>6.33333333333333</v>
      </c>
      <c r="S16" s="16" t="n">
        <f aca="false">AVERAGEIF('Echuca Games Against'!$A$5:$A$25,G$5,'Echuca Games Against'!N$5:N$25)</f>
        <v>4</v>
      </c>
      <c r="T16" s="16" t="n">
        <f aca="false">AVERAGEIF('Echuca Games Against'!$A$5:$A$25,H$5,'Echuca Games Against'!N$5:N$25)</f>
        <v>7.5</v>
      </c>
      <c r="U16" s="16" t="n">
        <f aca="false">AVERAGEIF('Echuca Games Against'!$A$5:$A$25,I$5,'Echuca Games Against'!N$5:N$25)</f>
        <v>12</v>
      </c>
      <c r="V16" s="16" t="n">
        <f aca="false">AVERAGEIF('Echuca Games Against'!$A$5:$A$25,J$5,'Echuca Games Against'!N$5:N$25)</f>
        <v>7.5</v>
      </c>
      <c r="W16" s="16" t="n">
        <f aca="false">AVERAGEIF('Echuca Games Against'!$A$5:$A$25,K$5,'Echuca Games Against'!N$5:N$25)</f>
        <v>7</v>
      </c>
      <c r="X16" s="16" t="n">
        <f aca="false">AVERAGEIF('Echuca Games Against'!$A$5:$A$25,L$5,'Echuca Games Against'!N$5:N$25)</f>
        <v>8</v>
      </c>
      <c r="Y16" s="16" t="n">
        <f aca="false">AVERAGEIF('Echuca Games Against'!$A$5:$A$25,M$5,'Echuca Games Against'!N$5:N$25)</f>
        <v>4.5</v>
      </c>
      <c r="Z16" s="16" t="n">
        <f aca="false">AVERAGEIF('Echuca Games Against'!$A$5:$A$25,N$5,'Echuca Games Against'!N$5:N$25)</f>
        <v>4</v>
      </c>
      <c r="AB16" s="16" t="n">
        <f aca="false">D16-P16</f>
        <v>4</v>
      </c>
      <c r="AC16" s="16" t="n">
        <f aca="false">E16-Q16</f>
        <v>-1</v>
      </c>
      <c r="AD16" s="16" t="n">
        <f aca="false">F16-R16</f>
        <v>0.333333333333334</v>
      </c>
      <c r="AE16" s="16" t="n">
        <f aca="false">G16-S16</f>
        <v>6</v>
      </c>
      <c r="AF16" s="16" t="n">
        <f aca="false">H16-T16</f>
        <v>4.5</v>
      </c>
      <c r="AG16" s="16" t="n">
        <f aca="false">I16-U16</f>
        <v>-7.5</v>
      </c>
      <c r="AH16" s="16" t="n">
        <f aca="false">J16-V16</f>
        <v>0.5</v>
      </c>
      <c r="AI16" s="16" t="n">
        <f aca="false">K16-W16</f>
        <v>-0.333333333333333</v>
      </c>
      <c r="AJ16" s="16" t="n">
        <f aca="false">L16-X16</f>
        <v>5</v>
      </c>
      <c r="AK16" s="16" t="n">
        <f aca="false">M16-Y16</f>
        <v>5</v>
      </c>
      <c r="AL16" s="16" t="n">
        <f aca="false">N16-Z16</f>
        <v>2.5</v>
      </c>
    </row>
    <row r="17" customFormat="false" ht="15" hidden="false" customHeight="false" outlineLevel="0" collapsed="false">
      <c r="A17" s="6" t="s">
        <v>119</v>
      </c>
      <c r="B17" s="7" t="s">
        <v>120</v>
      </c>
      <c r="C17" s="38" t="s">
        <v>179</v>
      </c>
      <c r="D17" s="16" t="n">
        <f aca="false">AVERAGEIF('Echuca Games For'!$A$5:$A$25,D$5,'Echuca Games For'!O$5:O$25)</f>
        <v>112</v>
      </c>
      <c r="E17" s="16" t="n">
        <f aca="false">AVERAGEIF('Echuca Games For'!$A$5:$A$25,E$5,'Echuca Games For'!O$5:O$25)</f>
        <v>126</v>
      </c>
      <c r="F17" s="16" t="n">
        <f aca="false">AVERAGEIF('Echuca Games For'!$A$5:$A$25,F$5,'Echuca Games For'!O$5:O$25)</f>
        <v>86.6666666666667</v>
      </c>
      <c r="G17" s="16" t="n">
        <f aca="false">AVERAGEIF('Echuca Games For'!$A$5:$A$25,G$5,'Echuca Games For'!O$5:O$25)</f>
        <v>94</v>
      </c>
      <c r="H17" s="16" t="n">
        <f aca="false">AVERAGEIF('Echuca Games For'!$A$5:$A$25,H$5,'Echuca Games For'!O$5:O$25)</f>
        <v>112.5</v>
      </c>
      <c r="I17" s="16" t="n">
        <f aca="false">AVERAGEIF('Echuca Games For'!$A$5:$A$25,I$5,'Echuca Games For'!O$5:O$25)</f>
        <v>91.5</v>
      </c>
      <c r="J17" s="16" t="n">
        <f aca="false">AVERAGEIF('Echuca Games For'!$A$5:$A$25,J$5,'Echuca Games For'!O$5:O$25)</f>
        <v>82.5</v>
      </c>
      <c r="K17" s="16" t="n">
        <f aca="false">AVERAGEIF('Echuca Games For'!$A$5:$A$25,K$5,'Echuca Games For'!O$5:O$25)</f>
        <v>88</v>
      </c>
      <c r="L17" s="16" t="n">
        <f aca="false">AVERAGEIF('Echuca Games For'!$A$5:$A$25,L$5,'Echuca Games For'!O$5:O$25)</f>
        <v>146</v>
      </c>
      <c r="M17" s="16" t="n">
        <f aca="false">AVERAGEIF('Echuca Games For'!$A$5:$A$25,M$5,'Echuca Games For'!O$5:O$25)</f>
        <v>97</v>
      </c>
      <c r="N17" s="16" t="n">
        <f aca="false">AVERAGEIF('Echuca Games For'!$A$5:$A$25,N$5,'Echuca Games For'!O$5:O$25)</f>
        <v>102.5</v>
      </c>
      <c r="P17" s="16" t="n">
        <f aca="false">AVERAGEIF('Echuca Games Against'!$A$5:$A$25,D$5,'Echuca Games Against'!O$5:O$25)</f>
        <v>98</v>
      </c>
      <c r="Q17" s="16" t="n">
        <f aca="false">AVERAGEIF('Echuca Games Against'!$A$5:$A$25,E$5,'Echuca Games Against'!O$5:O$25)</f>
        <v>79</v>
      </c>
      <c r="R17" s="16" t="n">
        <f aca="false">AVERAGEIF('Echuca Games Against'!$A$5:$A$25,F$5,'Echuca Games Against'!O$5:O$25)</f>
        <v>99</v>
      </c>
      <c r="S17" s="16" t="n">
        <f aca="false">AVERAGEIF('Echuca Games Against'!$A$5:$A$25,G$5,'Echuca Games Against'!O$5:O$25)</f>
        <v>57</v>
      </c>
      <c r="T17" s="16" t="n">
        <f aca="false">AVERAGEIF('Echuca Games Against'!$A$5:$A$25,H$5,'Echuca Games Against'!O$5:O$25)</f>
        <v>77</v>
      </c>
      <c r="U17" s="16" t="n">
        <f aca="false">AVERAGEIF('Echuca Games Against'!$A$5:$A$25,I$5,'Echuca Games Against'!O$5:O$25)</f>
        <v>81</v>
      </c>
      <c r="V17" s="16" t="n">
        <f aca="false">AVERAGEIF('Echuca Games Against'!$A$5:$A$25,J$5,'Echuca Games Against'!O$5:O$25)</f>
        <v>100.5</v>
      </c>
      <c r="W17" s="16" t="n">
        <f aca="false">AVERAGEIF('Echuca Games Against'!$A$5:$A$25,K$5,'Echuca Games Against'!O$5:O$25)</f>
        <v>75</v>
      </c>
      <c r="X17" s="16" t="n">
        <f aca="false">AVERAGEIF('Echuca Games Against'!$A$5:$A$25,L$5,'Echuca Games Against'!O$5:O$25)</f>
        <v>87</v>
      </c>
      <c r="Y17" s="16" t="n">
        <f aca="false">AVERAGEIF('Echuca Games Against'!$A$5:$A$25,M$5,'Echuca Games Against'!O$5:O$25)</f>
        <v>103</v>
      </c>
      <c r="Z17" s="16" t="n">
        <f aca="false">AVERAGEIF('Echuca Games Against'!$A$5:$A$25,N$5,'Echuca Games Against'!O$5:O$25)</f>
        <v>124</v>
      </c>
      <c r="AB17" s="16" t="n">
        <f aca="false">D17-P17</f>
        <v>14</v>
      </c>
      <c r="AC17" s="16" t="n">
        <f aca="false">E17-Q17</f>
        <v>47</v>
      </c>
      <c r="AD17" s="16" t="n">
        <f aca="false">F17-R17</f>
        <v>-12.3333333333333</v>
      </c>
      <c r="AE17" s="16" t="n">
        <f aca="false">G17-S17</f>
        <v>37</v>
      </c>
      <c r="AF17" s="16" t="n">
        <f aca="false">H17-T17</f>
        <v>35.5</v>
      </c>
      <c r="AG17" s="16" t="n">
        <f aca="false">I17-U17</f>
        <v>10.5</v>
      </c>
      <c r="AH17" s="16" t="n">
        <f aca="false">J17-V17</f>
        <v>-18</v>
      </c>
      <c r="AI17" s="16" t="n">
        <f aca="false">K17-W17</f>
        <v>13</v>
      </c>
      <c r="AJ17" s="16" t="n">
        <f aca="false">L17-X17</f>
        <v>59</v>
      </c>
      <c r="AK17" s="16" t="n">
        <f aca="false">M17-Y17</f>
        <v>-6</v>
      </c>
      <c r="AL17" s="16" t="n">
        <f aca="false">N17-Z17</f>
        <v>-21.5</v>
      </c>
    </row>
    <row r="18" customFormat="false" ht="15" hidden="false" customHeight="false" outlineLevel="0" collapsed="false">
      <c r="A18" s="6" t="s">
        <v>47</v>
      </c>
      <c r="B18" s="7" t="s">
        <v>48</v>
      </c>
      <c r="C18" s="38" t="s">
        <v>179</v>
      </c>
      <c r="D18" s="16" t="n">
        <f aca="false">AVERAGEIF('Echuca Games For'!$A$5:$A$25,D$5,'Echuca Games For'!P$5:P$25)</f>
        <v>11.5</v>
      </c>
      <c r="E18" s="16" t="n">
        <f aca="false">AVERAGEIF('Echuca Games For'!$A$5:$A$25,E$5,'Echuca Games For'!P$5:P$25)</f>
        <v>13</v>
      </c>
      <c r="F18" s="16" t="n">
        <f aca="false">AVERAGEIF('Echuca Games For'!$A$5:$A$25,F$5,'Echuca Games For'!P$5:P$25)</f>
        <v>14.6666666666667</v>
      </c>
      <c r="G18" s="16" t="n">
        <f aca="false">AVERAGEIF('Echuca Games For'!$A$5:$A$25,G$5,'Echuca Games For'!P$5:P$25)</f>
        <v>12</v>
      </c>
      <c r="H18" s="16" t="n">
        <f aca="false">AVERAGEIF('Echuca Games For'!$A$5:$A$25,H$5,'Echuca Games For'!P$5:P$25)</f>
        <v>24.5</v>
      </c>
      <c r="I18" s="16" t="n">
        <f aca="false">AVERAGEIF('Echuca Games For'!$A$5:$A$25,I$5,'Echuca Games For'!P$5:P$25)</f>
        <v>12</v>
      </c>
      <c r="J18" s="16" t="n">
        <f aca="false">AVERAGEIF('Echuca Games For'!$A$5:$A$25,J$5,'Echuca Games For'!P$5:P$25)</f>
        <v>9</v>
      </c>
      <c r="K18" s="16" t="n">
        <f aca="false">AVERAGEIF('Echuca Games For'!$A$5:$A$25,K$5,'Echuca Games For'!P$5:P$25)</f>
        <v>16.3333333333333</v>
      </c>
      <c r="L18" s="16" t="n">
        <f aca="false">AVERAGEIF('Echuca Games For'!$A$5:$A$25,L$5,'Echuca Games For'!P$5:P$25)</f>
        <v>31</v>
      </c>
      <c r="M18" s="16" t="n">
        <f aca="false">AVERAGEIF('Echuca Games For'!$A$5:$A$25,M$5,'Echuca Games For'!P$5:P$25)</f>
        <v>11.5</v>
      </c>
      <c r="N18" s="16" t="n">
        <f aca="false">AVERAGEIF('Echuca Games For'!$A$5:$A$25,N$5,'Echuca Games For'!P$5:P$25)</f>
        <v>18.5</v>
      </c>
      <c r="P18" s="16" t="n">
        <f aca="false">AVERAGEIF('Echuca Games Against'!$A$5:$A$25,D$5,'Echuca Games Against'!P$5:P$25)</f>
        <v>18</v>
      </c>
      <c r="Q18" s="16" t="n">
        <f aca="false">AVERAGEIF('Echuca Games Against'!$A$5:$A$25,E$5,'Echuca Games Against'!P$5:P$25)</f>
        <v>8</v>
      </c>
      <c r="R18" s="16" t="n">
        <f aca="false">AVERAGEIF('Echuca Games Against'!$A$5:$A$25,F$5,'Echuca Games Against'!P$5:P$25)</f>
        <v>12.3333333333333</v>
      </c>
      <c r="S18" s="16" t="n">
        <f aca="false">AVERAGEIF('Echuca Games Against'!$A$5:$A$25,G$5,'Echuca Games Against'!P$5:P$25)</f>
        <v>15</v>
      </c>
      <c r="T18" s="16" t="n">
        <f aca="false">AVERAGEIF('Echuca Games Against'!$A$5:$A$25,H$5,'Echuca Games Against'!P$5:P$25)</f>
        <v>12.5</v>
      </c>
      <c r="U18" s="16" t="n">
        <f aca="false">AVERAGEIF('Echuca Games Against'!$A$5:$A$25,I$5,'Echuca Games Against'!P$5:P$25)</f>
        <v>10.5</v>
      </c>
      <c r="V18" s="16" t="n">
        <f aca="false">AVERAGEIF('Echuca Games Against'!$A$5:$A$25,J$5,'Echuca Games Against'!P$5:P$25)</f>
        <v>12.5</v>
      </c>
      <c r="W18" s="16" t="n">
        <f aca="false">AVERAGEIF('Echuca Games Against'!$A$5:$A$25,K$5,'Echuca Games Against'!P$5:P$25)</f>
        <v>16</v>
      </c>
      <c r="X18" s="16" t="n">
        <f aca="false">AVERAGEIF('Echuca Games Against'!$A$5:$A$25,L$5,'Echuca Games Against'!P$5:P$25)</f>
        <v>7</v>
      </c>
      <c r="Y18" s="16" t="n">
        <f aca="false">AVERAGEIF('Echuca Games Against'!$A$5:$A$25,M$5,'Echuca Games Against'!P$5:P$25)</f>
        <v>13</v>
      </c>
      <c r="Z18" s="16" t="n">
        <f aca="false">AVERAGEIF('Echuca Games Against'!$A$5:$A$25,N$5,'Echuca Games Against'!P$5:P$25)</f>
        <v>13</v>
      </c>
      <c r="AB18" s="16" t="n">
        <f aca="false">D18-P18</f>
        <v>-6.5</v>
      </c>
      <c r="AC18" s="16" t="n">
        <f aca="false">E18-Q18</f>
        <v>5</v>
      </c>
      <c r="AD18" s="16" t="n">
        <f aca="false">F18-R18</f>
        <v>2.33333333333333</v>
      </c>
      <c r="AE18" s="16" t="n">
        <f aca="false">G18-S18</f>
        <v>-3</v>
      </c>
      <c r="AF18" s="16" t="n">
        <f aca="false">H18-T18</f>
        <v>12</v>
      </c>
      <c r="AG18" s="16" t="n">
        <f aca="false">I18-U18</f>
        <v>1.5</v>
      </c>
      <c r="AH18" s="16" t="n">
        <f aca="false">J18-V18</f>
        <v>-3.5</v>
      </c>
      <c r="AI18" s="16" t="n">
        <f aca="false">K18-W18</f>
        <v>0.333333333333332</v>
      </c>
      <c r="AJ18" s="16" t="n">
        <f aca="false">L18-X18</f>
        <v>24</v>
      </c>
      <c r="AK18" s="16" t="n">
        <f aca="false">M18-Y18</f>
        <v>-1.5</v>
      </c>
      <c r="AL18" s="16" t="n">
        <f aca="false">N18-Z18</f>
        <v>5.5</v>
      </c>
    </row>
    <row r="19" customFormat="false" ht="15" hidden="false" customHeight="false" outlineLevel="0" collapsed="false">
      <c r="A19" s="6" t="s">
        <v>161</v>
      </c>
      <c r="B19" s="7" t="s">
        <v>162</v>
      </c>
      <c r="C19" s="38" t="s">
        <v>179</v>
      </c>
      <c r="D19" s="16" t="n">
        <f aca="false">AVERAGEIF('Echuca Games For'!$A$5:$A$25,D$5,'Echuca Games For'!Q$5:Q$25)</f>
        <v>100.5</v>
      </c>
      <c r="E19" s="16" t="n">
        <f aca="false">AVERAGEIF('Echuca Games For'!$A$5:$A$25,E$5,'Echuca Games For'!Q$5:Q$25)</f>
        <v>113</v>
      </c>
      <c r="F19" s="16" t="n">
        <f aca="false">AVERAGEIF('Echuca Games For'!$A$5:$A$25,F$5,'Echuca Games For'!Q$5:Q$25)</f>
        <v>72</v>
      </c>
      <c r="G19" s="16" t="n">
        <f aca="false">AVERAGEIF('Echuca Games For'!$A$5:$A$25,G$5,'Echuca Games For'!Q$5:Q$25)</f>
        <v>82</v>
      </c>
      <c r="H19" s="16" t="n">
        <f aca="false">AVERAGEIF('Echuca Games For'!$A$5:$A$25,H$5,'Echuca Games For'!Q$5:Q$25)</f>
        <v>88</v>
      </c>
      <c r="I19" s="16" t="n">
        <f aca="false">AVERAGEIF('Echuca Games For'!$A$5:$A$25,I$5,'Echuca Games For'!Q$5:Q$25)</f>
        <v>79.5</v>
      </c>
      <c r="J19" s="16" t="n">
        <f aca="false">AVERAGEIF('Echuca Games For'!$A$5:$A$25,J$5,'Echuca Games For'!Q$5:Q$25)</f>
        <v>73.5</v>
      </c>
      <c r="K19" s="16" t="n">
        <f aca="false">AVERAGEIF('Echuca Games For'!$A$5:$A$25,K$5,'Echuca Games For'!Q$5:Q$25)</f>
        <v>71.6666666666667</v>
      </c>
      <c r="L19" s="16" t="n">
        <f aca="false">AVERAGEIF('Echuca Games For'!$A$5:$A$25,L$5,'Echuca Games For'!Q$5:Q$25)</f>
        <v>115</v>
      </c>
      <c r="M19" s="16" t="n">
        <f aca="false">AVERAGEIF('Echuca Games For'!$A$5:$A$25,M$5,'Echuca Games For'!Q$5:Q$25)</f>
        <v>85.5</v>
      </c>
      <c r="N19" s="16" t="n">
        <f aca="false">AVERAGEIF('Echuca Games For'!$A$5:$A$25,N$5,'Echuca Games For'!Q$5:Q$25)</f>
        <v>84</v>
      </c>
      <c r="P19" s="16" t="n">
        <f aca="false">AVERAGEIF('Echuca Games Against'!$A$5:$A$25,D$5,'Echuca Games Against'!Q$5:Q$25)</f>
        <v>80</v>
      </c>
      <c r="Q19" s="16" t="n">
        <f aca="false">AVERAGEIF('Echuca Games Against'!$A$5:$A$25,E$5,'Echuca Games Against'!Q$5:Q$25)</f>
        <v>71</v>
      </c>
      <c r="R19" s="16" t="n">
        <f aca="false">AVERAGEIF('Echuca Games Against'!$A$5:$A$25,F$5,'Echuca Games Against'!Q$5:Q$25)</f>
        <v>86.6666666666667</v>
      </c>
      <c r="S19" s="16" t="n">
        <f aca="false">AVERAGEIF('Echuca Games Against'!$A$5:$A$25,G$5,'Echuca Games Against'!Q$5:Q$25)</f>
        <v>42</v>
      </c>
      <c r="T19" s="16" t="n">
        <f aca="false">AVERAGEIF('Echuca Games Against'!$A$5:$A$25,H$5,'Echuca Games Against'!Q$5:Q$25)</f>
        <v>64.5</v>
      </c>
      <c r="U19" s="16" t="n">
        <f aca="false">AVERAGEIF('Echuca Games Against'!$A$5:$A$25,I$5,'Echuca Games Against'!Q$5:Q$25)</f>
        <v>70.5</v>
      </c>
      <c r="V19" s="16" t="n">
        <f aca="false">AVERAGEIF('Echuca Games Against'!$A$5:$A$25,J$5,'Echuca Games Against'!Q$5:Q$25)</f>
        <v>88</v>
      </c>
      <c r="W19" s="16" t="n">
        <f aca="false">AVERAGEIF('Echuca Games Against'!$A$5:$A$25,K$5,'Echuca Games Against'!Q$5:Q$25)</f>
        <v>59</v>
      </c>
      <c r="X19" s="16" t="n">
        <f aca="false">AVERAGEIF('Echuca Games Against'!$A$5:$A$25,L$5,'Echuca Games Against'!Q$5:Q$25)</f>
        <v>80</v>
      </c>
      <c r="Y19" s="16" t="n">
        <f aca="false">AVERAGEIF('Echuca Games Against'!$A$5:$A$25,M$5,'Echuca Games Against'!Q$5:Q$25)</f>
        <v>90</v>
      </c>
      <c r="Z19" s="16" t="n">
        <f aca="false">AVERAGEIF('Echuca Games Against'!$A$5:$A$25,N$5,'Echuca Games Against'!Q$5:Q$25)</f>
        <v>111</v>
      </c>
      <c r="AB19" s="16" t="n">
        <f aca="false">D19-P19</f>
        <v>20.5</v>
      </c>
      <c r="AC19" s="16" t="n">
        <f aca="false">E19-Q19</f>
        <v>42</v>
      </c>
      <c r="AD19" s="16" t="n">
        <f aca="false">F19-R19</f>
        <v>-14.6666666666667</v>
      </c>
      <c r="AE19" s="16" t="n">
        <f aca="false">G19-S19</f>
        <v>40</v>
      </c>
      <c r="AF19" s="16" t="n">
        <f aca="false">H19-T19</f>
        <v>23.5</v>
      </c>
      <c r="AG19" s="16" t="n">
        <f aca="false">I19-U19</f>
        <v>9</v>
      </c>
      <c r="AH19" s="16" t="n">
        <f aca="false">J19-V19</f>
        <v>-14.5</v>
      </c>
      <c r="AI19" s="16" t="n">
        <f aca="false">K19-W19</f>
        <v>12.6666666666667</v>
      </c>
      <c r="AJ19" s="16" t="n">
        <f aca="false">L19-X19</f>
        <v>35</v>
      </c>
      <c r="AK19" s="16" t="n">
        <f aca="false">M19-Y19</f>
        <v>-4.5</v>
      </c>
      <c r="AL19" s="16" t="n">
        <f aca="false">N19-Z19</f>
        <v>-27</v>
      </c>
    </row>
    <row r="20" customFormat="false" ht="15" hidden="false" customHeight="false" outlineLevel="0" collapsed="false">
      <c r="A20" s="6" t="s">
        <v>101</v>
      </c>
      <c r="B20" s="7" t="s">
        <v>102</v>
      </c>
      <c r="C20" s="38" t="s">
        <v>179</v>
      </c>
      <c r="D20" s="16" t="n">
        <f aca="false">AVERAGEIF('Echuca Games For'!$A$5:$A$25,D$5,'Echuca Games For'!R$5:R$25)</f>
        <v>11.5</v>
      </c>
      <c r="E20" s="16" t="n">
        <f aca="false">AVERAGEIF('Echuca Games For'!$A$5:$A$25,E$5,'Echuca Games For'!R$5:R$25)</f>
        <v>16</v>
      </c>
      <c r="F20" s="16" t="n">
        <f aca="false">AVERAGEIF('Echuca Games For'!$A$5:$A$25,F$5,'Echuca Games For'!R$5:R$25)</f>
        <v>16.6666666666667</v>
      </c>
      <c r="G20" s="16" t="n">
        <f aca="false">AVERAGEIF('Echuca Games For'!$A$5:$A$25,G$5,'Echuca Games For'!R$5:R$25)</f>
        <v>16</v>
      </c>
      <c r="H20" s="16" t="n">
        <f aca="false">AVERAGEIF('Echuca Games For'!$A$5:$A$25,H$5,'Echuca Games For'!R$5:R$25)</f>
        <v>18.5</v>
      </c>
      <c r="I20" s="16" t="n">
        <f aca="false">AVERAGEIF('Echuca Games For'!$A$5:$A$25,I$5,'Echuca Games For'!R$5:R$25)</f>
        <v>17.5</v>
      </c>
      <c r="J20" s="16" t="n">
        <f aca="false">AVERAGEIF('Echuca Games For'!$A$5:$A$25,J$5,'Echuca Games For'!R$5:R$25)</f>
        <v>16</v>
      </c>
      <c r="K20" s="16" t="n">
        <f aca="false">AVERAGEIF('Echuca Games For'!$A$5:$A$25,K$5,'Echuca Games For'!R$5:R$25)</f>
        <v>18.3333333333333</v>
      </c>
      <c r="L20" s="16" t="n">
        <f aca="false">AVERAGEIF('Echuca Games For'!$A$5:$A$25,L$5,'Echuca Games For'!R$5:R$25)</f>
        <v>22</v>
      </c>
      <c r="M20" s="16" t="n">
        <f aca="false">AVERAGEIF('Echuca Games For'!$A$5:$A$25,M$5,'Echuca Games For'!R$5:R$25)</f>
        <v>13</v>
      </c>
      <c r="N20" s="16" t="n">
        <f aca="false">AVERAGEIF('Echuca Games For'!$A$5:$A$25,N$5,'Echuca Games For'!R$5:R$25)</f>
        <v>12</v>
      </c>
      <c r="P20" s="16" t="n">
        <f aca="false">AVERAGEIF('Echuca Games Against'!$A$5:$A$25,D$5,'Echuca Games Against'!R$5:R$25)</f>
        <v>17</v>
      </c>
      <c r="Q20" s="16" t="n">
        <f aca="false">AVERAGEIF('Echuca Games Against'!$A$5:$A$25,E$5,'Echuca Games Against'!R$5:R$25)</f>
        <v>21</v>
      </c>
      <c r="R20" s="16" t="n">
        <f aca="false">AVERAGEIF('Echuca Games Against'!$A$5:$A$25,F$5,'Echuca Games Against'!R$5:R$25)</f>
        <v>20.3333333333333</v>
      </c>
      <c r="S20" s="16" t="n">
        <f aca="false">AVERAGEIF('Echuca Games Against'!$A$5:$A$25,G$5,'Echuca Games Against'!R$5:R$25)</f>
        <v>19</v>
      </c>
      <c r="T20" s="16" t="n">
        <f aca="false">AVERAGEIF('Echuca Games Against'!$A$5:$A$25,H$5,'Echuca Games Against'!R$5:R$25)</f>
        <v>15</v>
      </c>
      <c r="U20" s="16" t="n">
        <f aca="false">AVERAGEIF('Echuca Games Against'!$A$5:$A$25,I$5,'Echuca Games Against'!R$5:R$25)</f>
        <v>16.5</v>
      </c>
      <c r="V20" s="16" t="n">
        <f aca="false">AVERAGEIF('Echuca Games Against'!$A$5:$A$25,J$5,'Echuca Games Against'!R$5:R$25)</f>
        <v>19.5</v>
      </c>
      <c r="W20" s="16" t="n">
        <f aca="false">AVERAGEIF('Echuca Games Against'!$A$5:$A$25,K$5,'Echuca Games Against'!R$5:R$25)</f>
        <v>16</v>
      </c>
      <c r="X20" s="16" t="n">
        <f aca="false">AVERAGEIF('Echuca Games Against'!$A$5:$A$25,L$5,'Echuca Games Against'!R$5:R$25)</f>
        <v>10</v>
      </c>
      <c r="Y20" s="16" t="n">
        <f aca="false">AVERAGEIF('Echuca Games Against'!$A$5:$A$25,M$5,'Echuca Games Against'!R$5:R$25)</f>
        <v>18</v>
      </c>
      <c r="Z20" s="16" t="n">
        <f aca="false">AVERAGEIF('Echuca Games Against'!$A$5:$A$25,N$5,'Echuca Games Against'!R$5:R$25)</f>
        <v>19.5</v>
      </c>
      <c r="AB20" s="16" t="n">
        <f aca="false">D20-P20</f>
        <v>-5.5</v>
      </c>
      <c r="AC20" s="16" t="n">
        <f aca="false">E20-Q20</f>
        <v>-5</v>
      </c>
      <c r="AD20" s="16" t="n">
        <f aca="false">F20-R20</f>
        <v>-3.66666666666666</v>
      </c>
      <c r="AE20" s="16" t="n">
        <f aca="false">G20-S20</f>
        <v>-3</v>
      </c>
      <c r="AF20" s="16" t="n">
        <f aca="false">H20-T20</f>
        <v>3.5</v>
      </c>
      <c r="AG20" s="16" t="n">
        <f aca="false">I20-U20</f>
        <v>1</v>
      </c>
      <c r="AH20" s="16" t="n">
        <f aca="false">J20-V20</f>
        <v>-3.5</v>
      </c>
      <c r="AI20" s="16" t="n">
        <f aca="false">K20-W20</f>
        <v>2.33333333333333</v>
      </c>
      <c r="AJ20" s="16" t="n">
        <f aca="false">L20-X20</f>
        <v>12</v>
      </c>
      <c r="AK20" s="16" t="n">
        <f aca="false">M20-Y20</f>
        <v>-5</v>
      </c>
      <c r="AL20" s="16" t="n">
        <f aca="false">N20-Z20</f>
        <v>-7.5</v>
      </c>
    </row>
    <row r="21" customFormat="false" ht="15" hidden="false" customHeight="false" outlineLevel="0" collapsed="false">
      <c r="A21" s="6" t="s">
        <v>121</v>
      </c>
      <c r="B21" s="7" t="s">
        <v>122</v>
      </c>
      <c r="C21" s="38" t="s">
        <v>179</v>
      </c>
      <c r="D21" s="16" t="n">
        <f aca="false">AVERAGEIF('Echuca Games For'!$A$5:$A$25,D$5,'Echuca Games For'!S$5:S$25)</f>
        <v>16.5</v>
      </c>
      <c r="E21" s="16" t="n">
        <f aca="false">AVERAGEIF('Echuca Games For'!$A$5:$A$25,E$5,'Echuca Games For'!S$5:S$25)</f>
        <v>24</v>
      </c>
      <c r="F21" s="16" t="n">
        <f aca="false">AVERAGEIF('Echuca Games For'!$A$5:$A$25,F$5,'Echuca Games For'!S$5:S$25)</f>
        <v>12</v>
      </c>
      <c r="G21" s="16" t="n">
        <f aca="false">AVERAGEIF('Echuca Games For'!$A$5:$A$25,G$5,'Echuca Games For'!S$5:S$25)</f>
        <v>11</v>
      </c>
      <c r="H21" s="16" t="n">
        <f aca="false">AVERAGEIF('Echuca Games For'!$A$5:$A$25,H$5,'Echuca Games For'!S$5:S$25)</f>
        <v>22</v>
      </c>
      <c r="I21" s="16" t="n">
        <f aca="false">AVERAGEIF('Echuca Games For'!$A$5:$A$25,I$5,'Echuca Games For'!S$5:S$25)</f>
        <v>12</v>
      </c>
      <c r="J21" s="16" t="n">
        <f aca="false">AVERAGEIF('Echuca Games For'!$A$5:$A$25,J$5,'Echuca Games For'!S$5:S$25)</f>
        <v>9.5</v>
      </c>
      <c r="K21" s="16" t="n">
        <f aca="false">AVERAGEIF('Echuca Games For'!$A$5:$A$25,K$5,'Echuca Games For'!S$5:S$25)</f>
        <v>13</v>
      </c>
      <c r="L21" s="16" t="n">
        <f aca="false">AVERAGEIF('Echuca Games For'!$A$5:$A$25,L$5,'Echuca Games For'!S$5:S$25)</f>
        <v>24</v>
      </c>
      <c r="M21" s="16" t="n">
        <f aca="false">AVERAGEIF('Echuca Games For'!$A$5:$A$25,M$5,'Echuca Games For'!S$5:S$25)</f>
        <v>18.5</v>
      </c>
      <c r="N21" s="16" t="n">
        <f aca="false">AVERAGEIF('Echuca Games For'!$A$5:$A$25,N$5,'Echuca Games For'!S$5:S$25)</f>
        <v>21</v>
      </c>
      <c r="P21" s="16" t="n">
        <f aca="false">AVERAGEIF('Echuca Games Against'!$A$5:$A$25,D$5,'Echuca Games Against'!S$5:S$25)</f>
        <v>8.5</v>
      </c>
      <c r="Q21" s="16" t="n">
        <f aca="false">AVERAGEIF('Echuca Games Against'!$A$5:$A$25,E$5,'Echuca Games Against'!S$5:S$25)</f>
        <v>4</v>
      </c>
      <c r="R21" s="16" t="n">
        <f aca="false">AVERAGEIF('Echuca Games Against'!$A$5:$A$25,F$5,'Echuca Games Against'!S$5:S$25)</f>
        <v>12</v>
      </c>
      <c r="S21" s="16" t="n">
        <f aca="false">AVERAGEIF('Echuca Games Against'!$A$5:$A$25,G$5,'Echuca Games Against'!S$5:S$25)</f>
        <v>8</v>
      </c>
      <c r="T21" s="16" t="n">
        <f aca="false">AVERAGEIF('Echuca Games Against'!$A$5:$A$25,H$5,'Echuca Games Against'!S$5:S$25)</f>
        <v>10</v>
      </c>
      <c r="U21" s="16" t="n">
        <f aca="false">AVERAGEIF('Echuca Games Against'!$A$5:$A$25,I$5,'Echuca Games Against'!S$5:S$25)</f>
        <v>9</v>
      </c>
      <c r="V21" s="16" t="n">
        <f aca="false">AVERAGEIF('Echuca Games Against'!$A$5:$A$25,J$5,'Echuca Games Against'!S$5:S$25)</f>
        <v>13</v>
      </c>
      <c r="W21" s="16" t="n">
        <f aca="false">AVERAGEIF('Echuca Games Against'!$A$5:$A$25,K$5,'Echuca Games Against'!S$5:S$25)</f>
        <v>9.33333333333333</v>
      </c>
      <c r="X21" s="16" t="n">
        <f aca="false">AVERAGEIF('Echuca Games Against'!$A$5:$A$25,L$5,'Echuca Games Against'!S$5:S$25)</f>
        <v>3</v>
      </c>
      <c r="Y21" s="16" t="n">
        <f aca="false">AVERAGEIF('Echuca Games Against'!$A$5:$A$25,M$5,'Echuca Games Against'!S$5:S$25)</f>
        <v>12</v>
      </c>
      <c r="Z21" s="16" t="n">
        <f aca="false">AVERAGEIF('Echuca Games Against'!$A$5:$A$25,N$5,'Echuca Games Against'!S$5:S$25)</f>
        <v>5.5</v>
      </c>
      <c r="AB21" s="16" t="n">
        <f aca="false">D21-P21</f>
        <v>8</v>
      </c>
      <c r="AC21" s="16" t="n">
        <f aca="false">E21-Q21</f>
        <v>20</v>
      </c>
      <c r="AD21" s="16" t="n">
        <f aca="false">F21-R21</f>
        <v>0</v>
      </c>
      <c r="AE21" s="16" t="n">
        <f aca="false">G21-S21</f>
        <v>3</v>
      </c>
      <c r="AF21" s="16" t="n">
        <f aca="false">H21-T21</f>
        <v>12</v>
      </c>
      <c r="AG21" s="16" t="n">
        <f aca="false">I21-U21</f>
        <v>3</v>
      </c>
      <c r="AH21" s="16" t="n">
        <f aca="false">J21-V21</f>
        <v>-3.5</v>
      </c>
      <c r="AI21" s="16" t="n">
        <f aca="false">K21-W21</f>
        <v>3.66666666666667</v>
      </c>
      <c r="AJ21" s="16" t="n">
        <f aca="false">L21-X21</f>
        <v>21</v>
      </c>
      <c r="AK21" s="16" t="n">
        <f aca="false">M21-Y21</f>
        <v>6.5</v>
      </c>
      <c r="AL21" s="16" t="n">
        <f aca="false">N21-Z21</f>
        <v>15.5</v>
      </c>
    </row>
    <row r="22" customFormat="false" ht="15" hidden="false" customHeight="false" outlineLevel="0" collapsed="false">
      <c r="A22" s="6" t="s">
        <v>139</v>
      </c>
      <c r="B22" s="7" t="s">
        <v>140</v>
      </c>
      <c r="C22" s="38" t="s">
        <v>179</v>
      </c>
      <c r="D22" s="16" t="n">
        <f aca="false">AVERAGEIF('Echuca Games For'!$A$5:$A$25,D$5,'Echuca Games For'!T$5:T$25)</f>
        <v>1647.5</v>
      </c>
      <c r="E22" s="16" t="n">
        <f aca="false">AVERAGEIF('Echuca Games For'!$A$5:$A$25,E$5,'Echuca Games For'!T$5:T$25)</f>
        <v>1990</v>
      </c>
      <c r="F22" s="16" t="n">
        <f aca="false">AVERAGEIF('Echuca Games For'!$A$5:$A$25,F$5,'Echuca Games For'!T$5:T$25)</f>
        <v>1591</v>
      </c>
      <c r="G22" s="16" t="n">
        <f aca="false">AVERAGEIF('Echuca Games For'!$A$5:$A$25,G$5,'Echuca Games For'!T$5:T$25)</f>
        <v>1747</v>
      </c>
      <c r="H22" s="16" t="n">
        <f aca="false">AVERAGEIF('Echuca Games For'!$A$5:$A$25,H$5,'Echuca Games For'!T$5:T$25)</f>
        <v>1737</v>
      </c>
      <c r="I22" s="16" t="n">
        <f aca="false">AVERAGEIF('Echuca Games For'!$A$5:$A$25,I$5,'Echuca Games For'!T$5:T$25)</f>
        <v>1758.5</v>
      </c>
      <c r="J22" s="16" t="n">
        <f aca="false">AVERAGEIF('Echuca Games For'!$A$5:$A$25,J$5,'Echuca Games For'!T$5:T$25)</f>
        <v>1566</v>
      </c>
      <c r="K22" s="16" t="n">
        <f aca="false">AVERAGEIF('Echuca Games For'!$A$5:$A$25,K$5,'Echuca Games For'!T$5:T$25)</f>
        <v>1712.66666666667</v>
      </c>
      <c r="L22" s="16" t="n">
        <f aca="false">AVERAGEIF('Echuca Games For'!$A$5:$A$25,L$5,'Echuca Games For'!T$5:T$25)</f>
        <v>2050</v>
      </c>
      <c r="M22" s="16" t="n">
        <f aca="false">AVERAGEIF('Echuca Games For'!$A$5:$A$25,M$5,'Echuca Games For'!T$5:T$25)</f>
        <v>1793</v>
      </c>
      <c r="N22" s="16" t="n">
        <f aca="false">AVERAGEIF('Echuca Games For'!$A$5:$A$25,N$5,'Echuca Games For'!T$5:T$25)</f>
        <v>1914</v>
      </c>
      <c r="P22" s="16" t="n">
        <f aca="false">AVERAGEIF('Echuca Games Against'!$A$5:$A$25,D$5,'Echuca Games Against'!T$5:T$25)</f>
        <v>1407</v>
      </c>
      <c r="Q22" s="16" t="n">
        <f aca="false">AVERAGEIF('Echuca Games Against'!$A$5:$A$25,E$5,'Echuca Games Against'!T$5:T$25)</f>
        <v>1269</v>
      </c>
      <c r="R22" s="16" t="n">
        <f aca="false">AVERAGEIF('Echuca Games Against'!$A$5:$A$25,F$5,'Echuca Games Against'!T$5:T$25)</f>
        <v>1574.66666666667</v>
      </c>
      <c r="S22" s="16" t="n">
        <f aca="false">AVERAGEIF('Echuca Games Against'!$A$5:$A$25,G$5,'Echuca Games Against'!T$5:T$25)</f>
        <v>1467</v>
      </c>
      <c r="T22" s="16" t="n">
        <f aca="false">AVERAGEIF('Echuca Games Against'!$A$5:$A$25,H$5,'Echuca Games Against'!T$5:T$25)</f>
        <v>1455.5</v>
      </c>
      <c r="U22" s="16" t="n">
        <f aca="false">AVERAGEIF('Echuca Games Against'!$A$5:$A$25,I$5,'Echuca Games Against'!T$5:T$25)</f>
        <v>1582.5</v>
      </c>
      <c r="V22" s="16" t="n">
        <f aca="false">AVERAGEIF('Echuca Games Against'!$A$5:$A$25,J$5,'Echuca Games Against'!T$5:T$25)</f>
        <v>1636</v>
      </c>
      <c r="W22" s="16" t="n">
        <f aca="false">AVERAGEIF('Echuca Games Against'!$A$5:$A$25,K$5,'Echuca Games Against'!T$5:T$25)</f>
        <v>1505.66666666667</v>
      </c>
      <c r="X22" s="16" t="n">
        <f aca="false">AVERAGEIF('Echuca Games Against'!$A$5:$A$25,L$5,'Echuca Games Against'!T$5:T$25)</f>
        <v>1443</v>
      </c>
      <c r="Y22" s="16" t="n">
        <f aca="false">AVERAGEIF('Echuca Games Against'!$A$5:$A$25,M$5,'Echuca Games Against'!T$5:T$25)</f>
        <v>1501</v>
      </c>
      <c r="Z22" s="16" t="n">
        <f aca="false">AVERAGEIF('Echuca Games Against'!$A$5:$A$25,N$5,'Echuca Games Against'!T$5:T$25)</f>
        <v>1480</v>
      </c>
      <c r="AB22" s="16" t="n">
        <f aca="false">D22-P22</f>
        <v>240.5</v>
      </c>
      <c r="AC22" s="16" t="n">
        <f aca="false">E22-Q22</f>
        <v>721</v>
      </c>
      <c r="AD22" s="16" t="n">
        <f aca="false">F22-R22</f>
        <v>16.3333333333333</v>
      </c>
      <c r="AE22" s="16" t="n">
        <f aca="false">G22-S22</f>
        <v>280</v>
      </c>
      <c r="AF22" s="16" t="n">
        <f aca="false">H22-T22</f>
        <v>281.5</v>
      </c>
      <c r="AG22" s="16" t="n">
        <f aca="false">I22-U22</f>
        <v>176</v>
      </c>
      <c r="AH22" s="16" t="n">
        <f aca="false">J22-V22</f>
        <v>-70</v>
      </c>
      <c r="AI22" s="16" t="n">
        <f aca="false">K22-W22</f>
        <v>207</v>
      </c>
      <c r="AJ22" s="16" t="n">
        <f aca="false">L22-X22</f>
        <v>607</v>
      </c>
      <c r="AK22" s="16" t="n">
        <f aca="false">M22-Y22</f>
        <v>292</v>
      </c>
      <c r="AL22" s="16" t="n">
        <f aca="false">N22-Z22</f>
        <v>434</v>
      </c>
    </row>
    <row r="23" customFormat="false" ht="15" hidden="false" customHeight="false" outlineLevel="0" collapsed="false">
      <c r="A23" s="6" t="s">
        <v>91</v>
      </c>
      <c r="B23" s="7" t="s">
        <v>92</v>
      </c>
      <c r="C23" s="38" t="s">
        <v>181</v>
      </c>
      <c r="D23" s="16" t="n">
        <f aca="false">AVERAGEIF('Echuca Games For'!$A$5:$A$25,D$5,'Echuca Games For'!U$5:U$25)</f>
        <v>29</v>
      </c>
      <c r="E23" s="16" t="n">
        <f aca="false">AVERAGEIF('Echuca Games For'!$A$5:$A$25,E$5,'Echuca Games For'!U$5:U$25)</f>
        <v>47</v>
      </c>
      <c r="F23" s="16" t="n">
        <f aca="false">AVERAGEIF('Echuca Games For'!$A$5:$A$25,F$5,'Echuca Games For'!U$5:U$25)</f>
        <v>42.3333333333333</v>
      </c>
      <c r="G23" s="16" t="n">
        <f aca="false">AVERAGEIF('Echuca Games For'!$A$5:$A$25,G$5,'Echuca Games For'!U$5:U$25)</f>
        <v>45</v>
      </c>
      <c r="H23" s="16" t="n">
        <f aca="false">AVERAGEIF('Echuca Games For'!$A$5:$A$25,H$5,'Echuca Games For'!U$5:U$25)</f>
        <v>48</v>
      </c>
      <c r="I23" s="16" t="n">
        <f aca="false">AVERAGEIF('Echuca Games For'!$A$5:$A$25,I$5,'Echuca Games For'!U$5:U$25)</f>
        <v>49</v>
      </c>
      <c r="J23" s="16" t="n">
        <f aca="false">AVERAGEIF('Echuca Games For'!$A$5:$A$25,J$5,'Echuca Games For'!U$5:U$25)</f>
        <v>28.5</v>
      </c>
      <c r="K23" s="16" t="n">
        <f aca="false">AVERAGEIF('Echuca Games For'!$A$5:$A$25,K$5,'Echuca Games For'!U$5:U$25)</f>
        <v>35</v>
      </c>
      <c r="L23" s="16" t="n">
        <f aca="false">AVERAGEIF('Echuca Games For'!$A$5:$A$25,L$5,'Echuca Games For'!U$5:U$25)</f>
        <v>64</v>
      </c>
      <c r="M23" s="16" t="n">
        <f aca="false">AVERAGEIF('Echuca Games For'!$A$5:$A$25,M$5,'Echuca Games For'!U$5:U$25)</f>
        <v>52</v>
      </c>
      <c r="N23" s="16" t="n">
        <f aca="false">AVERAGEIF('Echuca Games For'!$A$5:$A$25,N$5,'Echuca Games For'!U$5:U$25)</f>
        <v>43.5</v>
      </c>
      <c r="P23" s="16" t="n">
        <f aca="false">AVERAGEIF('Echuca Games Against'!$A$5:$A$25,D$5,'Echuca Games Against'!U$5:U$25)</f>
        <v>62</v>
      </c>
      <c r="Q23" s="16" t="n">
        <f aca="false">AVERAGEIF('Echuca Games Against'!$A$5:$A$25,E$5,'Echuca Games Against'!U$5:U$25)</f>
        <v>40</v>
      </c>
      <c r="R23" s="16" t="n">
        <f aca="false">AVERAGEIF('Echuca Games Against'!$A$5:$A$25,F$5,'Echuca Games Against'!U$5:U$25)</f>
        <v>57.3333333333333</v>
      </c>
      <c r="S23" s="16" t="n">
        <f aca="false">AVERAGEIF('Echuca Games Against'!$A$5:$A$25,G$5,'Echuca Games Against'!U$5:U$25)</f>
        <v>77</v>
      </c>
      <c r="T23" s="16" t="n">
        <f aca="false">AVERAGEIF('Echuca Games Against'!$A$5:$A$25,H$5,'Echuca Games Against'!U$5:U$25)</f>
        <v>53</v>
      </c>
      <c r="U23" s="16" t="n">
        <f aca="false">AVERAGEIF('Echuca Games Against'!$A$5:$A$25,I$5,'Echuca Games Against'!U$5:U$25)</f>
        <v>56.5</v>
      </c>
      <c r="V23" s="16" t="n">
        <f aca="false">AVERAGEIF('Echuca Games Against'!$A$5:$A$25,J$5,'Echuca Games Against'!U$5:U$25)</f>
        <v>55</v>
      </c>
      <c r="W23" s="16" t="n">
        <f aca="false">AVERAGEIF('Echuca Games Against'!$A$5:$A$25,K$5,'Echuca Games Against'!U$5:U$25)</f>
        <v>73.3333333333333</v>
      </c>
      <c r="X23" s="16" t="n">
        <f aca="false">AVERAGEIF('Echuca Games Against'!$A$5:$A$25,L$5,'Echuca Games Against'!U$5:U$25)</f>
        <v>35</v>
      </c>
      <c r="Y23" s="16" t="n">
        <f aca="false">AVERAGEIF('Echuca Games Against'!$A$5:$A$25,M$5,'Echuca Games Against'!U$5:U$25)</f>
        <v>63</v>
      </c>
      <c r="Z23" s="16" t="n">
        <f aca="false">AVERAGEIF('Echuca Games Against'!$A$5:$A$25,N$5,'Echuca Games Against'!U$5:U$25)</f>
        <v>59</v>
      </c>
      <c r="AB23" s="16" t="n">
        <f aca="false">D23-P23</f>
        <v>-33</v>
      </c>
      <c r="AC23" s="16" t="n">
        <f aca="false">E23-Q23</f>
        <v>7</v>
      </c>
      <c r="AD23" s="16" t="n">
        <f aca="false">F23-R23</f>
        <v>-15</v>
      </c>
      <c r="AE23" s="16" t="n">
        <f aca="false">G23-S23</f>
        <v>-32</v>
      </c>
      <c r="AF23" s="16" t="n">
        <f aca="false">H23-T23</f>
        <v>-5</v>
      </c>
      <c r="AG23" s="16" t="n">
        <f aca="false">I23-U23</f>
        <v>-7.5</v>
      </c>
      <c r="AH23" s="16" t="n">
        <f aca="false">J23-V23</f>
        <v>-26.5</v>
      </c>
      <c r="AI23" s="16" t="n">
        <f aca="false">K23-W23</f>
        <v>-38.3333333333333</v>
      </c>
      <c r="AJ23" s="16" t="n">
        <f aca="false">L23-X23</f>
        <v>29</v>
      </c>
      <c r="AK23" s="16" t="n">
        <f aca="false">M23-Y23</f>
        <v>-11</v>
      </c>
      <c r="AL23" s="16" t="n">
        <f aca="false">N23-Z23</f>
        <v>-15.5</v>
      </c>
    </row>
    <row r="24" customFormat="false" ht="15" hidden="false" customHeight="false" outlineLevel="0" collapsed="false">
      <c r="A24" s="6" t="s">
        <v>93</v>
      </c>
      <c r="B24" s="7" t="s">
        <v>94</v>
      </c>
      <c r="C24" s="38" t="s">
        <v>179</v>
      </c>
      <c r="D24" s="16" t="n">
        <f aca="false">AVERAGEIF('Echuca Games For'!$A$5:$A$25,D$5,'Echuca Games For'!V$5:V$25)</f>
        <v>5.5</v>
      </c>
      <c r="E24" s="16" t="n">
        <f aca="false">AVERAGEIF('Echuca Games For'!$A$5:$A$25,E$5,'Echuca Games For'!V$5:V$25)</f>
        <v>12</v>
      </c>
      <c r="F24" s="16" t="n">
        <f aca="false">AVERAGEIF('Echuca Games For'!$A$5:$A$25,F$5,'Echuca Games For'!V$5:V$25)</f>
        <v>8.66666666666667</v>
      </c>
      <c r="G24" s="16" t="n">
        <f aca="false">AVERAGEIF('Echuca Games For'!$A$5:$A$25,G$5,'Echuca Games For'!V$5:V$25)</f>
        <v>13</v>
      </c>
      <c r="H24" s="16" t="n">
        <f aca="false">AVERAGEIF('Echuca Games For'!$A$5:$A$25,H$5,'Echuca Games For'!V$5:V$25)</f>
        <v>9.5</v>
      </c>
      <c r="I24" s="16" t="n">
        <f aca="false">AVERAGEIF('Echuca Games For'!$A$5:$A$25,I$5,'Echuca Games For'!V$5:V$25)</f>
        <v>12</v>
      </c>
      <c r="J24" s="16" t="n">
        <f aca="false">AVERAGEIF('Echuca Games For'!$A$5:$A$25,J$5,'Echuca Games For'!V$5:V$25)</f>
        <v>5</v>
      </c>
      <c r="K24" s="16" t="n">
        <f aca="false">AVERAGEIF('Echuca Games For'!$A$5:$A$25,K$5,'Echuca Games For'!V$5:V$25)</f>
        <v>5</v>
      </c>
      <c r="L24" s="16" t="n">
        <f aca="false">AVERAGEIF('Echuca Games For'!$A$5:$A$25,L$5,'Echuca Games For'!V$5:V$25)</f>
        <v>12</v>
      </c>
      <c r="M24" s="16" t="n">
        <f aca="false">AVERAGEIF('Echuca Games For'!$A$5:$A$25,M$5,'Echuca Games For'!V$5:V$25)</f>
        <v>10.5</v>
      </c>
      <c r="N24" s="16" t="n">
        <f aca="false">AVERAGEIF('Echuca Games For'!$A$5:$A$25,N$5,'Echuca Games For'!V$5:V$25)</f>
        <v>15</v>
      </c>
      <c r="P24" s="16" t="n">
        <f aca="false">AVERAGEIF('Echuca Games Against'!$A$5:$A$25,D$5,'Echuca Games Against'!V$5:V$25)</f>
        <v>10.5</v>
      </c>
      <c r="Q24" s="16" t="n">
        <f aca="false">AVERAGEIF('Echuca Games Against'!$A$5:$A$25,E$5,'Echuca Games Against'!V$5:V$25)</f>
        <v>9</v>
      </c>
      <c r="R24" s="16" t="n">
        <f aca="false">AVERAGEIF('Echuca Games Against'!$A$5:$A$25,F$5,'Echuca Games Against'!V$5:V$25)</f>
        <v>12</v>
      </c>
      <c r="S24" s="16" t="n">
        <f aca="false">AVERAGEIF('Echuca Games Against'!$A$5:$A$25,G$5,'Echuca Games Against'!V$5:V$25)</f>
        <v>21</v>
      </c>
      <c r="T24" s="16" t="n">
        <f aca="false">AVERAGEIF('Echuca Games Against'!$A$5:$A$25,H$5,'Echuca Games Against'!V$5:V$25)</f>
        <v>14.5</v>
      </c>
      <c r="U24" s="16" t="n">
        <f aca="false">AVERAGEIF('Echuca Games Against'!$A$5:$A$25,I$5,'Echuca Games Against'!V$5:V$25)</f>
        <v>11</v>
      </c>
      <c r="V24" s="16" t="n">
        <f aca="false">AVERAGEIF('Echuca Games Against'!$A$5:$A$25,J$5,'Echuca Games Against'!V$5:V$25)</f>
        <v>8</v>
      </c>
      <c r="W24" s="16" t="n">
        <f aca="false">AVERAGEIF('Echuca Games Against'!$A$5:$A$25,K$5,'Echuca Games Against'!V$5:V$25)</f>
        <v>17.6666666666667</v>
      </c>
      <c r="X24" s="16" t="n">
        <f aca="false">AVERAGEIF('Echuca Games Against'!$A$5:$A$25,L$5,'Echuca Games Against'!V$5:V$25)</f>
        <v>8</v>
      </c>
      <c r="Y24" s="16" t="n">
        <f aca="false">AVERAGEIF('Echuca Games Against'!$A$5:$A$25,M$5,'Echuca Games Against'!V$5:V$25)</f>
        <v>12</v>
      </c>
      <c r="Z24" s="16" t="n">
        <f aca="false">AVERAGEIF('Echuca Games Against'!$A$5:$A$25,N$5,'Echuca Games Against'!V$5:V$25)</f>
        <v>10</v>
      </c>
      <c r="AB24" s="16" t="n">
        <f aca="false">D24-P24</f>
        <v>-5</v>
      </c>
      <c r="AC24" s="16" t="n">
        <f aca="false">E24-Q24</f>
        <v>3</v>
      </c>
      <c r="AD24" s="16" t="n">
        <f aca="false">F24-R24</f>
        <v>-3.33333333333333</v>
      </c>
      <c r="AE24" s="16" t="n">
        <f aca="false">G24-S24</f>
        <v>-8</v>
      </c>
      <c r="AF24" s="16" t="n">
        <f aca="false">H24-T24</f>
        <v>-5</v>
      </c>
      <c r="AG24" s="16" t="n">
        <f aca="false">I24-U24</f>
        <v>1</v>
      </c>
      <c r="AH24" s="16" t="n">
        <f aca="false">J24-V24</f>
        <v>-3</v>
      </c>
      <c r="AI24" s="16" t="n">
        <f aca="false">K24-W24</f>
        <v>-12.6666666666667</v>
      </c>
      <c r="AJ24" s="16" t="n">
        <f aca="false">L24-X24</f>
        <v>4</v>
      </c>
      <c r="AK24" s="16" t="n">
        <f aca="false">M24-Y24</f>
        <v>-1.5</v>
      </c>
      <c r="AL24" s="16" t="n">
        <f aca="false">N24-Z24</f>
        <v>5</v>
      </c>
    </row>
    <row r="25" customFormat="false" ht="15" hidden="false" customHeight="false" outlineLevel="0" collapsed="false">
      <c r="A25" s="6" t="s">
        <v>53</v>
      </c>
      <c r="B25" s="7" t="s">
        <v>54</v>
      </c>
      <c r="C25" s="38" t="s">
        <v>179</v>
      </c>
      <c r="D25" s="16" t="n">
        <f aca="false">AVERAGEIF('Echuca Games For'!$A$5:$A$25,D$5,'Echuca Games For'!W$5:W$25)</f>
        <v>40.5</v>
      </c>
      <c r="E25" s="16" t="n">
        <f aca="false">AVERAGEIF('Echuca Games For'!$A$5:$A$25,E$5,'Echuca Games For'!W$5:W$25)</f>
        <v>36</v>
      </c>
      <c r="F25" s="16" t="n">
        <f aca="false">AVERAGEIF('Echuca Games For'!$A$5:$A$25,F$5,'Echuca Games For'!W$5:W$25)</f>
        <v>40.3333333333333</v>
      </c>
      <c r="G25" s="16" t="n">
        <f aca="false">AVERAGEIF('Echuca Games For'!$A$5:$A$25,G$5,'Echuca Games For'!W$5:W$25)</f>
        <v>52</v>
      </c>
      <c r="H25" s="16" t="n">
        <f aca="false">AVERAGEIF('Echuca Games For'!$A$5:$A$25,H$5,'Echuca Games For'!W$5:W$25)</f>
        <v>38</v>
      </c>
      <c r="I25" s="16" t="n">
        <f aca="false">AVERAGEIF('Echuca Games For'!$A$5:$A$25,I$5,'Echuca Games For'!W$5:W$25)</f>
        <v>43.5</v>
      </c>
      <c r="J25" s="16" t="n">
        <f aca="false">AVERAGEIF('Echuca Games For'!$A$5:$A$25,J$5,'Echuca Games For'!W$5:W$25)</f>
        <v>40</v>
      </c>
      <c r="K25" s="16" t="n">
        <f aca="false">AVERAGEIF('Echuca Games For'!$A$5:$A$25,K$5,'Echuca Games For'!W$5:W$25)</f>
        <v>45</v>
      </c>
      <c r="L25" s="16" t="n">
        <f aca="false">AVERAGEIF('Echuca Games For'!$A$5:$A$25,L$5,'Echuca Games For'!W$5:W$25)</f>
        <v>41</v>
      </c>
      <c r="M25" s="16" t="n">
        <f aca="false">AVERAGEIF('Echuca Games For'!$A$5:$A$25,M$5,'Echuca Games For'!W$5:W$25)</f>
        <v>54</v>
      </c>
      <c r="N25" s="16" t="n">
        <f aca="false">AVERAGEIF('Echuca Games For'!$A$5:$A$25,N$5,'Echuca Games For'!W$5:W$25)</f>
        <v>49.5</v>
      </c>
      <c r="P25" s="16" t="n">
        <f aca="false">AVERAGEIF('Echuca Games Against'!$A$5:$A$25,D$5,'Echuca Games Against'!W$5:W$25)</f>
        <v>39.5</v>
      </c>
      <c r="Q25" s="16" t="n">
        <f aca="false">AVERAGEIF('Echuca Games Against'!$A$5:$A$25,E$5,'Echuca Games Against'!W$5:W$25)</f>
        <v>39</v>
      </c>
      <c r="R25" s="16" t="n">
        <f aca="false">AVERAGEIF('Echuca Games Against'!$A$5:$A$25,F$5,'Echuca Games Against'!W$5:W$25)</f>
        <v>45</v>
      </c>
      <c r="S25" s="16" t="n">
        <f aca="false">AVERAGEIF('Echuca Games Against'!$A$5:$A$25,G$5,'Echuca Games Against'!W$5:W$25)</f>
        <v>55</v>
      </c>
      <c r="T25" s="16" t="n">
        <f aca="false">AVERAGEIF('Echuca Games Against'!$A$5:$A$25,H$5,'Echuca Games Against'!W$5:W$25)</f>
        <v>52</v>
      </c>
      <c r="U25" s="16" t="n">
        <f aca="false">AVERAGEIF('Echuca Games Against'!$A$5:$A$25,I$5,'Echuca Games Against'!W$5:W$25)</f>
        <v>46</v>
      </c>
      <c r="V25" s="16" t="n">
        <f aca="false">AVERAGEIF('Echuca Games Against'!$A$5:$A$25,J$5,'Echuca Games Against'!W$5:W$25)</f>
        <v>45</v>
      </c>
      <c r="W25" s="16" t="n">
        <f aca="false">AVERAGEIF('Echuca Games Against'!$A$5:$A$25,K$5,'Echuca Games Against'!W$5:W$25)</f>
        <v>42</v>
      </c>
      <c r="X25" s="16" t="n">
        <f aca="false">AVERAGEIF('Echuca Games Against'!$A$5:$A$25,L$5,'Echuca Games Against'!W$5:W$25)</f>
        <v>37</v>
      </c>
      <c r="Y25" s="16" t="n">
        <f aca="false">AVERAGEIF('Echuca Games Against'!$A$5:$A$25,M$5,'Echuca Games Against'!W$5:W$25)</f>
        <v>38.5</v>
      </c>
      <c r="Z25" s="16" t="n">
        <f aca="false">AVERAGEIF('Echuca Games Against'!$A$5:$A$25,N$5,'Echuca Games Against'!W$5:W$25)</f>
        <v>36</v>
      </c>
      <c r="AB25" s="16" t="n">
        <f aca="false">D25-P25</f>
        <v>1</v>
      </c>
      <c r="AC25" s="16" t="n">
        <f aca="false">E25-Q25</f>
        <v>-3</v>
      </c>
      <c r="AD25" s="16" t="n">
        <f aca="false">F25-R25</f>
        <v>-4.66666666666666</v>
      </c>
      <c r="AE25" s="16" t="n">
        <f aca="false">G25-S25</f>
        <v>-3</v>
      </c>
      <c r="AF25" s="16" t="n">
        <f aca="false">H25-T25</f>
        <v>-14</v>
      </c>
      <c r="AG25" s="16" t="n">
        <f aca="false">I25-U25</f>
        <v>-2.5</v>
      </c>
      <c r="AH25" s="16" t="n">
        <f aca="false">J25-V25</f>
        <v>-5</v>
      </c>
      <c r="AI25" s="16" t="n">
        <f aca="false">K25-W25</f>
        <v>3</v>
      </c>
      <c r="AJ25" s="16" t="n">
        <f aca="false">L25-X25</f>
        <v>4</v>
      </c>
      <c r="AK25" s="16" t="n">
        <f aca="false">M25-Y25</f>
        <v>15.5</v>
      </c>
      <c r="AL25" s="16" t="n">
        <f aca="false">N25-Z25</f>
        <v>13.5</v>
      </c>
    </row>
    <row r="26" customFormat="false" ht="15" hidden="false" customHeight="false" outlineLevel="0" collapsed="false">
      <c r="A26" s="6" t="s">
        <v>45</v>
      </c>
      <c r="B26" s="7" t="s">
        <v>46</v>
      </c>
      <c r="C26" s="38" t="s">
        <v>179</v>
      </c>
      <c r="D26" s="16" t="n">
        <f aca="false">AVERAGEIF('Echuca Games For'!$A$5:$A$25,D$5,'Echuca Games For'!X$5:X$25)</f>
        <v>8</v>
      </c>
      <c r="E26" s="16" t="n">
        <f aca="false">AVERAGEIF('Echuca Games For'!$A$5:$A$25,E$5,'Echuca Games For'!X$5:X$25)</f>
        <v>9</v>
      </c>
      <c r="F26" s="16" t="n">
        <f aca="false">AVERAGEIF('Echuca Games For'!$A$5:$A$25,F$5,'Echuca Games For'!X$5:X$25)</f>
        <v>11.3333333333333</v>
      </c>
      <c r="G26" s="16" t="n">
        <f aca="false">AVERAGEIF('Echuca Games For'!$A$5:$A$25,G$5,'Echuca Games For'!X$5:X$25)</f>
        <v>5</v>
      </c>
      <c r="H26" s="16" t="n">
        <f aca="false">AVERAGEIF('Echuca Games For'!$A$5:$A$25,H$5,'Echuca Games For'!X$5:X$25)</f>
        <v>8</v>
      </c>
      <c r="I26" s="16" t="n">
        <f aca="false">AVERAGEIF('Echuca Games For'!$A$5:$A$25,I$5,'Echuca Games For'!X$5:X$25)</f>
        <v>8</v>
      </c>
      <c r="J26" s="16" t="n">
        <f aca="false">AVERAGEIF('Echuca Games For'!$A$5:$A$25,J$5,'Echuca Games For'!X$5:X$25)</f>
        <v>11.5</v>
      </c>
      <c r="K26" s="16" t="n">
        <f aca="false">AVERAGEIF('Echuca Games For'!$A$5:$A$25,K$5,'Echuca Games For'!X$5:X$25)</f>
        <v>11</v>
      </c>
      <c r="L26" s="16" t="n">
        <f aca="false">AVERAGEIF('Echuca Games For'!$A$5:$A$25,L$5,'Echuca Games For'!X$5:X$25)</f>
        <v>13</v>
      </c>
      <c r="M26" s="16" t="n">
        <f aca="false">AVERAGEIF('Echuca Games For'!$A$5:$A$25,M$5,'Echuca Games For'!X$5:X$25)</f>
        <v>14</v>
      </c>
      <c r="N26" s="16" t="n">
        <f aca="false">AVERAGEIF('Echuca Games For'!$A$5:$A$25,N$5,'Echuca Games For'!X$5:X$25)</f>
        <v>16.5</v>
      </c>
      <c r="P26" s="16" t="n">
        <f aca="false">AVERAGEIF('Echuca Games Against'!$A$5:$A$25,D$5,'Echuca Games Against'!X$5:X$25)</f>
        <v>9</v>
      </c>
      <c r="Q26" s="16" t="n">
        <f aca="false">AVERAGEIF('Echuca Games Against'!$A$5:$A$25,E$5,'Echuca Games Against'!X$5:X$25)</f>
        <v>17</v>
      </c>
      <c r="R26" s="16" t="n">
        <f aca="false">AVERAGEIF('Echuca Games Against'!$A$5:$A$25,F$5,'Echuca Games Against'!X$5:X$25)</f>
        <v>11</v>
      </c>
      <c r="S26" s="16" t="n">
        <f aca="false">AVERAGEIF('Echuca Games Against'!$A$5:$A$25,G$5,'Echuca Games Against'!X$5:X$25)</f>
        <v>14</v>
      </c>
      <c r="T26" s="16" t="n">
        <f aca="false">AVERAGEIF('Echuca Games Against'!$A$5:$A$25,H$5,'Echuca Games Against'!X$5:X$25)</f>
        <v>11.5</v>
      </c>
      <c r="U26" s="16" t="n">
        <f aca="false">AVERAGEIF('Echuca Games Against'!$A$5:$A$25,I$5,'Echuca Games Against'!X$5:X$25)</f>
        <v>9.5</v>
      </c>
      <c r="V26" s="16" t="n">
        <f aca="false">AVERAGEIF('Echuca Games Against'!$A$5:$A$25,J$5,'Echuca Games Against'!X$5:X$25)</f>
        <v>12.5</v>
      </c>
      <c r="W26" s="16" t="n">
        <f aca="false">AVERAGEIF('Echuca Games Against'!$A$5:$A$25,K$5,'Echuca Games Against'!X$5:X$25)</f>
        <v>13.3333333333333</v>
      </c>
      <c r="X26" s="16" t="n">
        <f aca="false">AVERAGEIF('Echuca Games Against'!$A$5:$A$25,L$5,'Echuca Games Against'!X$5:X$25)</f>
        <v>11</v>
      </c>
      <c r="Y26" s="16" t="n">
        <f aca="false">AVERAGEIF('Echuca Games Against'!$A$5:$A$25,M$5,'Echuca Games Against'!X$5:X$25)</f>
        <v>9.5</v>
      </c>
      <c r="Z26" s="16" t="n">
        <f aca="false">AVERAGEIF('Echuca Games Against'!$A$5:$A$25,N$5,'Echuca Games Against'!X$5:X$25)</f>
        <v>7</v>
      </c>
      <c r="AB26" s="16" t="n">
        <f aca="false">D26-P26</f>
        <v>-1</v>
      </c>
      <c r="AC26" s="16" t="n">
        <f aca="false">E26-Q26</f>
        <v>-8</v>
      </c>
      <c r="AD26" s="16" t="n">
        <f aca="false">F26-R26</f>
        <v>0.333333333333334</v>
      </c>
      <c r="AE26" s="16" t="n">
        <f aca="false">G26-S26</f>
        <v>-9</v>
      </c>
      <c r="AF26" s="16" t="n">
        <f aca="false">H26-T26</f>
        <v>-3.5</v>
      </c>
      <c r="AG26" s="16" t="n">
        <f aca="false">I26-U26</f>
        <v>-1.5</v>
      </c>
      <c r="AH26" s="16" t="n">
        <f aca="false">J26-V26</f>
        <v>-1</v>
      </c>
      <c r="AI26" s="16" t="n">
        <f aca="false">K26-W26</f>
        <v>-2.33333333333333</v>
      </c>
      <c r="AJ26" s="16" t="n">
        <f aca="false">L26-X26</f>
        <v>2</v>
      </c>
      <c r="AK26" s="16" t="n">
        <f aca="false">M26-Y26</f>
        <v>4.5</v>
      </c>
      <c r="AL26" s="16" t="n">
        <f aca="false">N26-Z26</f>
        <v>9.5</v>
      </c>
    </row>
    <row r="27" customFormat="false" ht="15" hidden="false" customHeight="false" outlineLevel="0" collapsed="false">
      <c r="A27" s="6" t="s">
        <v>41</v>
      </c>
      <c r="B27" s="7" t="s">
        <v>42</v>
      </c>
      <c r="C27" s="38" t="s">
        <v>179</v>
      </c>
      <c r="D27" s="16" t="n">
        <f aca="false">AVERAGEIF('Echuca Games For'!$A$5:$A$25,D$5,'Echuca Games For'!Y$5:Y$25)</f>
        <v>19</v>
      </c>
      <c r="E27" s="16" t="n">
        <f aca="false">AVERAGEIF('Echuca Games For'!$A$5:$A$25,E$5,'Echuca Games For'!Y$5:Y$25)</f>
        <v>13</v>
      </c>
      <c r="F27" s="16" t="n">
        <f aca="false">AVERAGEIF('Echuca Games For'!$A$5:$A$25,F$5,'Echuca Games For'!Y$5:Y$25)</f>
        <v>17</v>
      </c>
      <c r="G27" s="16" t="n">
        <f aca="false">AVERAGEIF('Echuca Games For'!$A$5:$A$25,G$5,'Echuca Games For'!Y$5:Y$25)</f>
        <v>23</v>
      </c>
      <c r="H27" s="16" t="n">
        <f aca="false">AVERAGEIF('Echuca Games For'!$A$5:$A$25,H$5,'Echuca Games For'!Y$5:Y$25)</f>
        <v>19.5</v>
      </c>
      <c r="I27" s="16" t="n">
        <f aca="false">AVERAGEIF('Echuca Games For'!$A$5:$A$25,I$5,'Echuca Games For'!Y$5:Y$25)</f>
        <v>24.5</v>
      </c>
      <c r="J27" s="16" t="n">
        <f aca="false">AVERAGEIF('Echuca Games For'!$A$5:$A$25,J$5,'Echuca Games For'!Y$5:Y$25)</f>
        <v>17.5</v>
      </c>
      <c r="K27" s="16" t="n">
        <f aca="false">AVERAGEIF('Echuca Games For'!$A$5:$A$25,K$5,'Echuca Games For'!Y$5:Y$25)</f>
        <v>20.6666666666667</v>
      </c>
      <c r="L27" s="16" t="n">
        <f aca="false">AVERAGEIF('Echuca Games For'!$A$5:$A$25,L$5,'Echuca Games For'!Y$5:Y$25)</f>
        <v>18</v>
      </c>
      <c r="M27" s="16" t="n">
        <f aca="false">AVERAGEIF('Echuca Games For'!$A$5:$A$25,M$5,'Echuca Games For'!Y$5:Y$25)</f>
        <v>25</v>
      </c>
      <c r="N27" s="16" t="n">
        <f aca="false">AVERAGEIF('Echuca Games For'!$A$5:$A$25,N$5,'Echuca Games For'!Y$5:Y$25)</f>
        <v>22</v>
      </c>
      <c r="P27" s="16" t="n">
        <f aca="false">AVERAGEIF('Echuca Games Against'!$A$5:$A$25,D$5,'Echuca Games Against'!Y$5:Y$25)</f>
        <v>13</v>
      </c>
      <c r="Q27" s="16" t="n">
        <f aca="false">AVERAGEIF('Echuca Games Against'!$A$5:$A$25,E$5,'Echuca Games Against'!Y$5:Y$25)</f>
        <v>16</v>
      </c>
      <c r="R27" s="16" t="n">
        <f aca="false">AVERAGEIF('Echuca Games Against'!$A$5:$A$25,F$5,'Echuca Games Against'!Y$5:Y$25)</f>
        <v>19.6666666666667</v>
      </c>
      <c r="S27" s="16" t="n">
        <f aca="false">AVERAGEIF('Echuca Games Against'!$A$5:$A$25,G$5,'Echuca Games Against'!Y$5:Y$25)</f>
        <v>23</v>
      </c>
      <c r="T27" s="16" t="n">
        <f aca="false">AVERAGEIF('Echuca Games Against'!$A$5:$A$25,H$5,'Echuca Games Against'!Y$5:Y$25)</f>
        <v>22.5</v>
      </c>
      <c r="U27" s="16" t="n">
        <f aca="false">AVERAGEIF('Echuca Games Against'!$A$5:$A$25,I$5,'Echuca Games Against'!Y$5:Y$25)</f>
        <v>22</v>
      </c>
      <c r="V27" s="16" t="n">
        <f aca="false">AVERAGEIF('Echuca Games Against'!$A$5:$A$25,J$5,'Echuca Games Against'!Y$5:Y$25)</f>
        <v>17</v>
      </c>
      <c r="W27" s="16" t="n">
        <f aca="false">AVERAGEIF('Echuca Games Against'!$A$5:$A$25,K$5,'Echuca Games Against'!Y$5:Y$25)</f>
        <v>17</v>
      </c>
      <c r="X27" s="16" t="n">
        <f aca="false">AVERAGEIF('Echuca Games Against'!$A$5:$A$25,L$5,'Echuca Games Against'!Y$5:Y$25)</f>
        <v>16</v>
      </c>
      <c r="Y27" s="16" t="n">
        <f aca="false">AVERAGEIF('Echuca Games Against'!$A$5:$A$25,M$5,'Echuca Games Against'!Y$5:Y$25)</f>
        <v>18.5</v>
      </c>
      <c r="Z27" s="16" t="n">
        <f aca="false">AVERAGEIF('Echuca Games Against'!$A$5:$A$25,N$5,'Echuca Games Against'!Y$5:Y$25)</f>
        <v>16.5</v>
      </c>
      <c r="AB27" s="16" t="n">
        <f aca="false">D27-P27</f>
        <v>6</v>
      </c>
      <c r="AC27" s="16" t="n">
        <f aca="false">E27-Q27</f>
        <v>-3</v>
      </c>
      <c r="AD27" s="16" t="n">
        <f aca="false">F27-R27</f>
        <v>-2.66666666666667</v>
      </c>
      <c r="AE27" s="16" t="n">
        <f aca="false">G27-S27</f>
        <v>0</v>
      </c>
      <c r="AF27" s="16" t="n">
        <f aca="false">H27-T27</f>
        <v>-3</v>
      </c>
      <c r="AG27" s="16" t="n">
        <f aca="false">I27-U27</f>
        <v>2.5</v>
      </c>
      <c r="AH27" s="16" t="n">
        <f aca="false">J27-V27</f>
        <v>0.5</v>
      </c>
      <c r="AI27" s="16" t="n">
        <f aca="false">K27-W27</f>
        <v>3.66666666666667</v>
      </c>
      <c r="AJ27" s="16" t="n">
        <f aca="false">L27-X27</f>
        <v>2</v>
      </c>
      <c r="AK27" s="16" t="n">
        <f aca="false">M27-Y27</f>
        <v>6.5</v>
      </c>
      <c r="AL27" s="16" t="n">
        <f aca="false">N27-Z27</f>
        <v>5.5</v>
      </c>
    </row>
    <row r="28" customFormat="false" ht="15" hidden="false" customHeight="false" outlineLevel="0" collapsed="false">
      <c r="A28" s="6" t="s">
        <v>157</v>
      </c>
      <c r="B28" s="7" t="s">
        <v>158</v>
      </c>
      <c r="C28" s="38" t="s">
        <v>179</v>
      </c>
      <c r="D28" s="16" t="n">
        <f aca="false">AVERAGEIF('Echuca Games For'!$A$5:$A$25,D$5,'Echuca Games For'!Z$5:Z$25)</f>
        <v>13.5</v>
      </c>
      <c r="E28" s="16" t="n">
        <f aca="false">AVERAGEIF('Echuca Games For'!$A$5:$A$25,E$5,'Echuca Games For'!Z$5:Z$25)</f>
        <v>14</v>
      </c>
      <c r="F28" s="16" t="n">
        <f aca="false">AVERAGEIF('Echuca Games For'!$A$5:$A$25,F$5,'Echuca Games For'!Z$5:Z$25)</f>
        <v>12</v>
      </c>
      <c r="G28" s="16" t="n">
        <f aca="false">AVERAGEIF('Echuca Games For'!$A$5:$A$25,G$5,'Echuca Games For'!Z$5:Z$25)</f>
        <v>24</v>
      </c>
      <c r="H28" s="16" t="n">
        <f aca="false">AVERAGEIF('Echuca Games For'!$A$5:$A$25,H$5,'Echuca Games For'!Z$5:Z$25)</f>
        <v>10.5</v>
      </c>
      <c r="I28" s="16" t="n">
        <f aca="false">AVERAGEIF('Echuca Games For'!$A$5:$A$25,I$5,'Echuca Games For'!Z$5:Z$25)</f>
        <v>11</v>
      </c>
      <c r="J28" s="16" t="n">
        <f aca="false">AVERAGEIF('Echuca Games For'!$A$5:$A$25,J$5,'Echuca Games For'!Z$5:Z$25)</f>
        <v>11</v>
      </c>
      <c r="K28" s="16" t="n">
        <f aca="false">AVERAGEIF('Echuca Games For'!$A$5:$A$25,K$5,'Echuca Games For'!Z$5:Z$25)</f>
        <v>13.3333333333333</v>
      </c>
      <c r="L28" s="16" t="n">
        <f aca="false">AVERAGEIF('Echuca Games For'!$A$5:$A$25,L$5,'Echuca Games For'!Z$5:Z$25)</f>
        <v>10</v>
      </c>
      <c r="M28" s="16" t="n">
        <f aca="false">AVERAGEIF('Echuca Games For'!$A$5:$A$25,M$5,'Echuca Games For'!Z$5:Z$25)</f>
        <v>15</v>
      </c>
      <c r="N28" s="16" t="n">
        <f aca="false">AVERAGEIF('Echuca Games For'!$A$5:$A$25,N$5,'Echuca Games For'!Z$5:Z$25)</f>
        <v>11</v>
      </c>
      <c r="P28" s="16" t="n">
        <f aca="false">AVERAGEIF('Echuca Games Against'!$A$5:$A$25,D$5,'Echuca Games Against'!Z$5:Z$25)</f>
        <v>17.5</v>
      </c>
      <c r="Q28" s="16" t="n">
        <f aca="false">AVERAGEIF('Echuca Games Against'!$A$5:$A$25,E$5,'Echuca Games Against'!Z$5:Z$25)</f>
        <v>6</v>
      </c>
      <c r="R28" s="16" t="n">
        <f aca="false">AVERAGEIF('Echuca Games Against'!$A$5:$A$25,F$5,'Echuca Games Against'!Z$5:Z$25)</f>
        <v>14.3333333333333</v>
      </c>
      <c r="S28" s="16" t="n">
        <f aca="false">AVERAGEIF('Echuca Games Against'!$A$5:$A$25,G$5,'Echuca Games Against'!Z$5:Z$25)</f>
        <v>18</v>
      </c>
      <c r="T28" s="16" t="n">
        <f aca="false">AVERAGEIF('Echuca Games Against'!$A$5:$A$25,H$5,'Echuca Games Against'!Z$5:Z$25)</f>
        <v>18</v>
      </c>
      <c r="U28" s="16" t="n">
        <f aca="false">AVERAGEIF('Echuca Games Against'!$A$5:$A$25,I$5,'Echuca Games Against'!Z$5:Z$25)</f>
        <v>14.5</v>
      </c>
      <c r="V28" s="16" t="n">
        <f aca="false">AVERAGEIF('Echuca Games Against'!$A$5:$A$25,J$5,'Echuca Games Against'!Z$5:Z$25)</f>
        <v>15.5</v>
      </c>
      <c r="W28" s="16" t="n">
        <f aca="false">AVERAGEIF('Echuca Games Against'!$A$5:$A$25,K$5,'Echuca Games Against'!Z$5:Z$25)</f>
        <v>11.6666666666667</v>
      </c>
      <c r="X28" s="16" t="n">
        <f aca="false">AVERAGEIF('Echuca Games Against'!$A$5:$A$25,L$5,'Echuca Games Against'!Z$5:Z$25)</f>
        <v>10</v>
      </c>
      <c r="Y28" s="16" t="n">
        <f aca="false">AVERAGEIF('Echuca Games Against'!$A$5:$A$25,M$5,'Echuca Games Against'!Z$5:Z$25)</f>
        <v>10.5</v>
      </c>
      <c r="Z28" s="16" t="n">
        <f aca="false">AVERAGEIF('Echuca Games Against'!$A$5:$A$25,N$5,'Echuca Games Against'!Z$5:Z$25)</f>
        <v>12.5</v>
      </c>
      <c r="AB28" s="16" t="n">
        <f aca="false">D28-P28</f>
        <v>-4</v>
      </c>
      <c r="AC28" s="16" t="n">
        <f aca="false">E28-Q28</f>
        <v>8</v>
      </c>
      <c r="AD28" s="16" t="n">
        <f aca="false">F28-R28</f>
        <v>-2.33333333333333</v>
      </c>
      <c r="AE28" s="16" t="n">
        <f aca="false">G28-S28</f>
        <v>6</v>
      </c>
      <c r="AF28" s="16" t="n">
        <f aca="false">H28-T28</f>
        <v>-7.5</v>
      </c>
      <c r="AG28" s="16" t="n">
        <f aca="false">I28-U28</f>
        <v>-3.5</v>
      </c>
      <c r="AH28" s="16" t="n">
        <f aca="false">J28-V28</f>
        <v>-4.5</v>
      </c>
      <c r="AI28" s="16" t="n">
        <f aca="false">K28-W28</f>
        <v>1.66666666666667</v>
      </c>
      <c r="AJ28" s="16" t="n">
        <f aca="false">L28-X28</f>
        <v>0</v>
      </c>
      <c r="AK28" s="16" t="n">
        <f aca="false">M28-Y28</f>
        <v>4.5</v>
      </c>
      <c r="AL28" s="16" t="n">
        <f aca="false">N28-Z28</f>
        <v>-1.5</v>
      </c>
    </row>
    <row r="29" customFormat="false" ht="15" hidden="false" customHeight="false" outlineLevel="0" collapsed="false">
      <c r="A29" s="6" t="s">
        <v>97</v>
      </c>
      <c r="B29" s="7" t="s">
        <v>98</v>
      </c>
      <c r="C29" s="38" t="s">
        <v>179</v>
      </c>
      <c r="D29" s="16" t="n">
        <f aca="false">AVERAGEIF('Echuca Games For'!$A$5:$A$25,D$5,'Echuca Games For'!AA$5:AA$25)</f>
        <v>56</v>
      </c>
      <c r="E29" s="16" t="n">
        <f aca="false">AVERAGEIF('Echuca Games For'!$A$5:$A$25,E$5,'Echuca Games For'!AA$5:AA$25)</f>
        <v>69</v>
      </c>
      <c r="F29" s="16" t="n">
        <f aca="false">AVERAGEIF('Echuca Games For'!$A$5:$A$25,F$5,'Echuca Games For'!AA$5:AA$25)</f>
        <v>51</v>
      </c>
      <c r="G29" s="16" t="n">
        <f aca="false">AVERAGEIF('Echuca Games For'!$A$5:$A$25,G$5,'Echuca Games For'!AA$5:AA$25)</f>
        <v>53</v>
      </c>
      <c r="H29" s="16" t="n">
        <f aca="false">AVERAGEIF('Echuca Games For'!$A$5:$A$25,H$5,'Echuca Games For'!AA$5:AA$25)</f>
        <v>60</v>
      </c>
      <c r="I29" s="16" t="n">
        <f aca="false">AVERAGEIF('Echuca Games For'!$A$5:$A$25,I$5,'Echuca Games For'!AA$5:AA$25)</f>
        <v>52</v>
      </c>
      <c r="J29" s="16" t="n">
        <f aca="false">AVERAGEIF('Echuca Games For'!$A$5:$A$25,J$5,'Echuca Games For'!AA$5:AA$25)</f>
        <v>51</v>
      </c>
      <c r="K29" s="16" t="n">
        <f aca="false">AVERAGEIF('Echuca Games For'!$A$5:$A$25,K$5,'Echuca Games For'!AA$5:AA$25)</f>
        <v>52.6666666666667</v>
      </c>
      <c r="L29" s="16" t="n">
        <f aca="false">AVERAGEIF('Echuca Games For'!$A$5:$A$25,L$5,'Echuca Games For'!AA$5:AA$25)</f>
        <v>58</v>
      </c>
      <c r="M29" s="16" t="n">
        <f aca="false">AVERAGEIF('Echuca Games For'!$A$5:$A$25,M$5,'Echuca Games For'!AA$5:AA$25)</f>
        <v>52</v>
      </c>
      <c r="N29" s="16" t="n">
        <f aca="false">AVERAGEIF('Echuca Games For'!$A$5:$A$25,N$5,'Echuca Games For'!AA$5:AA$25)</f>
        <v>67</v>
      </c>
      <c r="P29" s="16" t="n">
        <f aca="false">AVERAGEIF('Echuca Games Against'!$A$5:$A$25,D$5,'Echuca Games Against'!AA$5:AA$25)</f>
        <v>33</v>
      </c>
      <c r="Q29" s="16" t="n">
        <f aca="false">AVERAGEIF('Echuca Games Against'!$A$5:$A$25,E$5,'Echuca Games Against'!AA$5:AA$25)</f>
        <v>34</v>
      </c>
      <c r="R29" s="16" t="n">
        <f aca="false">AVERAGEIF('Echuca Games Against'!$A$5:$A$25,F$5,'Echuca Games Against'!AA$5:AA$25)</f>
        <v>48.3333333333333</v>
      </c>
      <c r="S29" s="16" t="n">
        <f aca="false">AVERAGEIF('Echuca Games Against'!$A$5:$A$25,G$5,'Echuca Games Against'!AA$5:AA$25)</f>
        <v>51</v>
      </c>
      <c r="T29" s="16" t="n">
        <f aca="false">AVERAGEIF('Echuca Games Against'!$A$5:$A$25,H$5,'Echuca Games Against'!AA$5:AA$25)</f>
        <v>36.5</v>
      </c>
      <c r="U29" s="16" t="n">
        <f aca="false">AVERAGEIF('Echuca Games Against'!$A$5:$A$25,I$5,'Echuca Games Against'!AA$5:AA$25)</f>
        <v>50.5</v>
      </c>
      <c r="V29" s="16" t="n">
        <f aca="false">AVERAGEIF('Echuca Games Against'!$A$5:$A$25,J$5,'Echuca Games Against'!AA$5:AA$25)</f>
        <v>52</v>
      </c>
      <c r="W29" s="16" t="n">
        <f aca="false">AVERAGEIF('Echuca Games Against'!$A$5:$A$25,K$5,'Echuca Games Against'!AA$5:AA$25)</f>
        <v>48.3333333333333</v>
      </c>
      <c r="X29" s="16" t="n">
        <f aca="false">AVERAGEIF('Echuca Games Against'!$A$5:$A$25,L$5,'Echuca Games Against'!AA$5:AA$25)</f>
        <v>33</v>
      </c>
      <c r="Y29" s="16" t="n">
        <f aca="false">AVERAGEIF('Echuca Games Against'!$A$5:$A$25,M$5,'Echuca Games Against'!AA$5:AA$25)</f>
        <v>40</v>
      </c>
      <c r="Z29" s="16" t="n">
        <f aca="false">AVERAGEIF('Echuca Games Against'!$A$5:$A$25,N$5,'Echuca Games Against'!AA$5:AA$25)</f>
        <v>24.5</v>
      </c>
      <c r="AB29" s="16" t="n">
        <f aca="false">D29-P29</f>
        <v>23</v>
      </c>
      <c r="AC29" s="16" t="n">
        <f aca="false">E29-Q29</f>
        <v>35</v>
      </c>
      <c r="AD29" s="16" t="n">
        <f aca="false">F29-R29</f>
        <v>2.66666666666666</v>
      </c>
      <c r="AE29" s="16" t="n">
        <f aca="false">G29-S29</f>
        <v>2</v>
      </c>
      <c r="AF29" s="16" t="n">
        <f aca="false">H29-T29</f>
        <v>23.5</v>
      </c>
      <c r="AG29" s="16" t="n">
        <f aca="false">I29-U29</f>
        <v>1.5</v>
      </c>
      <c r="AH29" s="16" t="n">
        <f aca="false">J29-V29</f>
        <v>-1</v>
      </c>
      <c r="AI29" s="16" t="n">
        <f aca="false">K29-W29</f>
        <v>4.33333333333333</v>
      </c>
      <c r="AJ29" s="16" t="n">
        <f aca="false">L29-X29</f>
        <v>25</v>
      </c>
      <c r="AK29" s="16" t="n">
        <f aca="false">M29-Y29</f>
        <v>12</v>
      </c>
      <c r="AL29" s="16" t="n">
        <f aca="false">N29-Z29</f>
        <v>42.5</v>
      </c>
    </row>
    <row r="30" customFormat="false" ht="15" hidden="false" customHeight="false" outlineLevel="0" collapsed="false">
      <c r="A30" s="6" t="s">
        <v>133</v>
      </c>
      <c r="B30" s="7" t="s">
        <v>134</v>
      </c>
      <c r="C30" s="38" t="s">
        <v>181</v>
      </c>
      <c r="D30" s="16" t="n">
        <f aca="false">AVERAGEIF('Echuca Games For'!$A$5:$A$25,D$5,'Echuca Games For'!AB$5:AB$25)</f>
        <v>26</v>
      </c>
      <c r="E30" s="16" t="n">
        <f aca="false">AVERAGEIF('Echuca Games For'!$A$5:$A$25,E$5,'Echuca Games For'!AB$5:AB$25)</f>
        <v>27</v>
      </c>
      <c r="F30" s="16" t="n">
        <f aca="false">AVERAGEIF('Echuca Games For'!$A$5:$A$25,F$5,'Echuca Games For'!AB$5:AB$25)</f>
        <v>36.6666666666667</v>
      </c>
      <c r="G30" s="16" t="n">
        <f aca="false">AVERAGEIF('Echuca Games For'!$A$5:$A$25,G$5,'Echuca Games For'!AB$5:AB$25)</f>
        <v>45</v>
      </c>
      <c r="H30" s="16" t="n">
        <f aca="false">AVERAGEIF('Echuca Games For'!$A$5:$A$25,H$5,'Echuca Games For'!AB$5:AB$25)</f>
        <v>27.5</v>
      </c>
      <c r="I30" s="16" t="n">
        <f aca="false">AVERAGEIF('Echuca Games For'!$A$5:$A$25,I$5,'Echuca Games For'!AB$5:AB$25)</f>
        <v>44.5</v>
      </c>
      <c r="J30" s="16" t="n">
        <f aca="false">AVERAGEIF('Echuca Games For'!$A$5:$A$25,J$5,'Echuca Games For'!AB$5:AB$25)</f>
        <v>38</v>
      </c>
      <c r="K30" s="16" t="n">
        <f aca="false">AVERAGEIF('Echuca Games For'!$A$5:$A$25,K$5,'Echuca Games For'!AB$5:AB$25)</f>
        <v>39</v>
      </c>
      <c r="L30" s="16" t="n">
        <f aca="false">AVERAGEIF('Echuca Games For'!$A$5:$A$25,L$5,'Echuca Games For'!AB$5:AB$25)</f>
        <v>26</v>
      </c>
      <c r="M30" s="16" t="n">
        <f aca="false">AVERAGEIF('Echuca Games For'!$A$5:$A$25,M$5,'Echuca Games For'!AB$5:AB$25)</f>
        <v>32</v>
      </c>
      <c r="N30" s="16" t="n">
        <f aca="false">AVERAGEIF('Echuca Games For'!$A$5:$A$25,N$5,'Echuca Games For'!AB$5:AB$25)</f>
        <v>18.5</v>
      </c>
      <c r="P30" s="16" t="n">
        <f aca="false">AVERAGEIF('Echuca Games Against'!$A$5:$A$25,D$5,'Echuca Games Against'!AB$5:AB$25)</f>
        <v>43.5</v>
      </c>
      <c r="Q30" s="16" t="n">
        <f aca="false">AVERAGEIF('Echuca Games Against'!$A$5:$A$25,E$5,'Echuca Games Against'!AB$5:AB$25)</f>
        <v>52</v>
      </c>
      <c r="R30" s="16" t="n">
        <f aca="false">AVERAGEIF('Echuca Games Against'!$A$5:$A$25,F$5,'Echuca Games Against'!AB$5:AB$25)</f>
        <v>36.6666666666667</v>
      </c>
      <c r="S30" s="16" t="n">
        <f aca="false">AVERAGEIF('Echuca Games Against'!$A$5:$A$25,G$5,'Echuca Games Against'!AB$5:AB$25)</f>
        <v>41</v>
      </c>
      <c r="T30" s="16" t="n">
        <f aca="false">AVERAGEIF('Echuca Games Against'!$A$5:$A$25,H$5,'Echuca Games Against'!AB$5:AB$25)</f>
        <v>48</v>
      </c>
      <c r="U30" s="16" t="n">
        <f aca="false">AVERAGEIF('Echuca Games Against'!$A$5:$A$25,I$5,'Echuca Games Against'!AB$5:AB$25)</f>
        <v>39</v>
      </c>
      <c r="V30" s="16" t="n">
        <f aca="false">AVERAGEIF('Echuca Games Against'!$A$5:$A$25,J$5,'Echuca Games Against'!AB$5:AB$25)</f>
        <v>41</v>
      </c>
      <c r="W30" s="16" t="n">
        <f aca="false">AVERAGEIF('Echuca Games Against'!$A$5:$A$25,K$5,'Echuca Games Against'!AB$5:AB$25)</f>
        <v>37</v>
      </c>
      <c r="X30" s="16" t="n">
        <f aca="false">AVERAGEIF('Echuca Games Against'!$A$5:$A$25,L$5,'Echuca Games Against'!AB$5:AB$25)</f>
        <v>39</v>
      </c>
      <c r="Y30" s="16" t="n">
        <f aca="false">AVERAGEIF('Echuca Games Against'!$A$5:$A$25,M$5,'Echuca Games Against'!AB$5:AB$25)</f>
        <v>30</v>
      </c>
      <c r="Z30" s="16" t="n">
        <f aca="false">AVERAGEIF('Echuca Games Against'!$A$5:$A$25,N$5,'Echuca Games Against'!AB$5:AB$25)</f>
        <v>45</v>
      </c>
      <c r="AB30" s="16" t="n">
        <f aca="false">D30-P30</f>
        <v>-17.5</v>
      </c>
      <c r="AC30" s="16" t="n">
        <f aca="false">E30-Q30</f>
        <v>-25</v>
      </c>
      <c r="AD30" s="16" t="n">
        <f aca="false">F30-R30</f>
        <v>0</v>
      </c>
      <c r="AE30" s="16" t="n">
        <f aca="false">G30-S30</f>
        <v>4</v>
      </c>
      <c r="AF30" s="16" t="n">
        <f aca="false">H30-T30</f>
        <v>-20.5</v>
      </c>
      <c r="AG30" s="16" t="n">
        <f aca="false">I30-U30</f>
        <v>5.5</v>
      </c>
      <c r="AH30" s="16" t="n">
        <f aca="false">J30-V30</f>
        <v>-3</v>
      </c>
      <c r="AI30" s="16" t="n">
        <f aca="false">K30-W30</f>
        <v>2</v>
      </c>
      <c r="AJ30" s="16" t="n">
        <f aca="false">L30-X30</f>
        <v>-13</v>
      </c>
      <c r="AK30" s="16" t="n">
        <f aca="false">M30-Y30</f>
        <v>2</v>
      </c>
      <c r="AL30" s="16" t="n">
        <f aca="false">N30-Z30</f>
        <v>-26.5</v>
      </c>
    </row>
    <row r="31" customFormat="false" ht="15" hidden="false" customHeight="false" outlineLevel="0" collapsed="false">
      <c r="A31" s="6" t="s">
        <v>67</v>
      </c>
      <c r="B31" s="7" t="s">
        <v>68</v>
      </c>
      <c r="C31" s="38" t="s">
        <v>179</v>
      </c>
      <c r="D31" s="16" t="n">
        <f aca="false">AVERAGEIF('Echuca Games For'!$A$5:$A$25,D$5,'Echuca Games For'!AC$5:AC$25)</f>
        <v>25</v>
      </c>
      <c r="E31" s="16" t="n">
        <f aca="false">AVERAGEIF('Echuca Games For'!$A$5:$A$25,E$5,'Echuca Games For'!AC$5:AC$25)</f>
        <v>14</v>
      </c>
      <c r="F31" s="16" t="n">
        <f aca="false">AVERAGEIF('Echuca Games For'!$A$5:$A$25,F$5,'Echuca Games For'!AC$5:AC$25)</f>
        <v>16.3333333333333</v>
      </c>
      <c r="G31" s="16" t="n">
        <f aca="false">AVERAGEIF('Echuca Games For'!$A$5:$A$25,G$5,'Echuca Games For'!AC$5:AC$25)</f>
        <v>15</v>
      </c>
      <c r="H31" s="16" t="n">
        <f aca="false">AVERAGEIF('Echuca Games For'!$A$5:$A$25,H$5,'Echuca Games For'!AC$5:AC$25)</f>
        <v>16</v>
      </c>
      <c r="I31" s="16" t="n">
        <f aca="false">AVERAGEIF('Echuca Games For'!$A$5:$A$25,I$5,'Echuca Games For'!AC$5:AC$25)</f>
        <v>19.5</v>
      </c>
      <c r="J31" s="16" t="n">
        <f aca="false">AVERAGEIF('Echuca Games For'!$A$5:$A$25,J$5,'Echuca Games For'!AC$5:AC$25)</f>
        <v>19</v>
      </c>
      <c r="K31" s="16" t="n">
        <f aca="false">AVERAGEIF('Echuca Games For'!$A$5:$A$25,K$5,'Echuca Games For'!AC$5:AC$25)</f>
        <v>17</v>
      </c>
      <c r="L31" s="16" t="n">
        <f aca="false">AVERAGEIF('Echuca Games For'!$A$5:$A$25,L$5,'Echuca Games For'!AC$5:AC$25)</f>
        <v>8</v>
      </c>
      <c r="M31" s="16" t="n">
        <f aca="false">AVERAGEIF('Echuca Games For'!$A$5:$A$25,M$5,'Echuca Games For'!AC$5:AC$25)</f>
        <v>15.5</v>
      </c>
      <c r="N31" s="16" t="n">
        <f aca="false">AVERAGEIF('Echuca Games For'!$A$5:$A$25,N$5,'Echuca Games For'!AC$5:AC$25)</f>
        <v>16</v>
      </c>
      <c r="P31" s="16" t="n">
        <f aca="false">AVERAGEIF('Echuca Games Against'!$A$5:$A$25,D$5,'Echuca Games Against'!AC$5:AC$25)</f>
        <v>29.5</v>
      </c>
      <c r="Q31" s="16" t="n">
        <f aca="false">AVERAGEIF('Echuca Games Against'!$A$5:$A$25,E$5,'Echuca Games Against'!AC$5:AC$25)</f>
        <v>28</v>
      </c>
      <c r="R31" s="16" t="n">
        <f aca="false">AVERAGEIF('Echuca Games Against'!$A$5:$A$25,F$5,'Echuca Games Against'!AC$5:AC$25)</f>
        <v>17</v>
      </c>
      <c r="S31" s="16" t="n">
        <f aca="false">AVERAGEIF('Echuca Games Against'!$A$5:$A$25,G$5,'Echuca Games Against'!AC$5:AC$25)</f>
        <v>25</v>
      </c>
      <c r="T31" s="16" t="n">
        <f aca="false">AVERAGEIF('Echuca Games Against'!$A$5:$A$25,H$5,'Echuca Games Against'!AC$5:AC$25)</f>
        <v>16.5</v>
      </c>
      <c r="U31" s="16" t="n">
        <f aca="false">AVERAGEIF('Echuca Games Against'!$A$5:$A$25,I$5,'Echuca Games Against'!AC$5:AC$25)</f>
        <v>19</v>
      </c>
      <c r="V31" s="16" t="n">
        <f aca="false">AVERAGEIF('Echuca Games Against'!$A$5:$A$25,J$5,'Echuca Games Against'!AC$5:AC$25)</f>
        <v>22</v>
      </c>
      <c r="W31" s="16" t="n">
        <f aca="false">AVERAGEIF('Echuca Games Against'!$A$5:$A$25,K$5,'Echuca Games Against'!AC$5:AC$25)</f>
        <v>21</v>
      </c>
      <c r="X31" s="16" t="n">
        <f aca="false">AVERAGEIF('Echuca Games Against'!$A$5:$A$25,L$5,'Echuca Games Against'!AC$5:AC$25)</f>
        <v>21</v>
      </c>
      <c r="Y31" s="16" t="n">
        <f aca="false">AVERAGEIF('Echuca Games Against'!$A$5:$A$25,M$5,'Echuca Games Against'!AC$5:AC$25)</f>
        <v>16.5</v>
      </c>
      <c r="Z31" s="16" t="n">
        <f aca="false">AVERAGEIF('Echuca Games Against'!$A$5:$A$25,N$5,'Echuca Games Against'!AC$5:AC$25)</f>
        <v>17</v>
      </c>
      <c r="AB31" s="16" t="n">
        <f aca="false">D31-P31</f>
        <v>-4.5</v>
      </c>
      <c r="AC31" s="16" t="n">
        <f aca="false">E31-Q31</f>
        <v>-14</v>
      </c>
      <c r="AD31" s="16" t="n">
        <f aca="false">F31-R31</f>
        <v>-0.666666666666668</v>
      </c>
      <c r="AE31" s="16" t="n">
        <f aca="false">G31-S31</f>
        <v>-10</v>
      </c>
      <c r="AF31" s="16" t="n">
        <f aca="false">H31-T31</f>
        <v>-0.5</v>
      </c>
      <c r="AG31" s="16" t="n">
        <f aca="false">I31-U31</f>
        <v>0.5</v>
      </c>
      <c r="AH31" s="16" t="n">
        <f aca="false">J31-V31</f>
        <v>-3</v>
      </c>
      <c r="AI31" s="16" t="n">
        <f aca="false">K31-W31</f>
        <v>-4</v>
      </c>
      <c r="AJ31" s="16" t="n">
        <f aca="false">L31-X31</f>
        <v>-13</v>
      </c>
      <c r="AK31" s="16" t="n">
        <f aca="false">M31-Y31</f>
        <v>-1</v>
      </c>
      <c r="AL31" s="16" t="n">
        <f aca="false">N31-Z31</f>
        <v>-1</v>
      </c>
    </row>
    <row r="32" customFormat="false" ht="15" hidden="false" customHeight="false" outlineLevel="0" collapsed="false">
      <c r="A32" s="6" t="s">
        <v>111</v>
      </c>
      <c r="B32" s="7" t="s">
        <v>112</v>
      </c>
      <c r="C32" s="38" t="s">
        <v>181</v>
      </c>
      <c r="D32" s="16" t="n">
        <f aca="false">AVERAGEIF('Echuca Games For'!$A$5:$A$25,D$5,'Echuca Games For'!AD$5:AD$25)</f>
        <v>7</v>
      </c>
      <c r="E32" s="16" t="n">
        <f aca="false">AVERAGEIF('Echuca Games For'!$A$5:$A$25,E$5,'Echuca Games For'!AD$5:AD$25)</f>
        <v>3</v>
      </c>
      <c r="F32" s="16" t="n">
        <f aca="false">AVERAGEIF('Echuca Games For'!$A$5:$A$25,F$5,'Echuca Games For'!AD$5:AD$25)</f>
        <v>9.33333333333333</v>
      </c>
      <c r="G32" s="16" t="n">
        <f aca="false">AVERAGEIF('Echuca Games For'!$A$5:$A$25,G$5,'Echuca Games For'!AD$5:AD$25)</f>
        <v>10</v>
      </c>
      <c r="H32" s="16" t="n">
        <f aca="false">AVERAGEIF('Echuca Games For'!$A$5:$A$25,H$5,'Echuca Games For'!AD$5:AD$25)</f>
        <v>9.5</v>
      </c>
      <c r="I32" s="16" t="n">
        <f aca="false">AVERAGEIF('Echuca Games For'!$A$5:$A$25,I$5,'Echuca Games For'!AD$5:AD$25)</f>
        <v>12.5</v>
      </c>
      <c r="J32" s="16" t="n">
        <f aca="false">AVERAGEIF('Echuca Games For'!$A$5:$A$25,J$5,'Echuca Games For'!AD$5:AD$25)</f>
        <v>12</v>
      </c>
      <c r="K32" s="16" t="n">
        <f aca="false">AVERAGEIF('Echuca Games For'!$A$5:$A$25,K$5,'Echuca Games For'!AD$5:AD$25)</f>
        <v>9.66666666666667</v>
      </c>
      <c r="L32" s="16" t="n">
        <f aca="false">AVERAGEIF('Echuca Games For'!$A$5:$A$25,L$5,'Echuca Games For'!AD$5:AD$25)</f>
        <v>8</v>
      </c>
      <c r="M32" s="16" t="n">
        <f aca="false">AVERAGEIF('Echuca Games For'!$A$5:$A$25,M$5,'Echuca Games For'!AD$5:AD$25)</f>
        <v>11.5</v>
      </c>
      <c r="N32" s="16" t="n">
        <f aca="false">AVERAGEIF('Echuca Games For'!$A$5:$A$25,N$5,'Echuca Games For'!AD$5:AD$25)</f>
        <v>3</v>
      </c>
      <c r="P32" s="16" t="n">
        <f aca="false">AVERAGEIF('Echuca Games Against'!$A$5:$A$25,D$5,'Echuca Games Against'!AD$5:AD$25)</f>
        <v>13</v>
      </c>
      <c r="Q32" s="16" t="n">
        <f aca="false">AVERAGEIF('Echuca Games Against'!$A$5:$A$25,E$5,'Echuca Games Against'!AD$5:AD$25)</f>
        <v>17</v>
      </c>
      <c r="R32" s="16" t="n">
        <f aca="false">AVERAGEIF('Echuca Games Against'!$A$5:$A$25,F$5,'Echuca Games Against'!AD$5:AD$25)</f>
        <v>10.3333333333333</v>
      </c>
      <c r="S32" s="16" t="n">
        <f aca="false">AVERAGEIF('Echuca Games Against'!$A$5:$A$25,G$5,'Echuca Games Against'!AD$5:AD$25)</f>
        <v>20</v>
      </c>
      <c r="T32" s="16" t="n">
        <f aca="false">AVERAGEIF('Echuca Games Against'!$A$5:$A$25,H$5,'Echuca Games Against'!AD$5:AD$25)</f>
        <v>16.5</v>
      </c>
      <c r="U32" s="16" t="n">
        <f aca="false">AVERAGEIF('Echuca Games Against'!$A$5:$A$25,I$5,'Echuca Games Against'!AD$5:AD$25)</f>
        <v>11.5</v>
      </c>
      <c r="V32" s="16" t="n">
        <f aca="false">AVERAGEIF('Echuca Games Against'!$A$5:$A$25,J$5,'Echuca Games Against'!AD$5:AD$25)</f>
        <v>11</v>
      </c>
      <c r="W32" s="16" t="n">
        <f aca="false">AVERAGEIF('Echuca Games Against'!$A$5:$A$25,K$5,'Echuca Games Against'!AD$5:AD$25)</f>
        <v>12</v>
      </c>
      <c r="X32" s="16" t="n">
        <f aca="false">AVERAGEIF('Echuca Games Against'!$A$5:$A$25,L$5,'Echuca Games Against'!AD$5:AD$25)</f>
        <v>10</v>
      </c>
      <c r="Y32" s="16" t="n">
        <f aca="false">AVERAGEIF('Echuca Games Against'!$A$5:$A$25,M$5,'Echuca Games Against'!AD$5:AD$25)</f>
        <v>8</v>
      </c>
      <c r="Z32" s="16" t="n">
        <f aca="false">AVERAGEIF('Echuca Games Against'!$A$5:$A$25,N$5,'Echuca Games Against'!AD$5:AD$25)</f>
        <v>17.5</v>
      </c>
      <c r="AB32" s="16" t="n">
        <f aca="false">D32-P32</f>
        <v>-6</v>
      </c>
      <c r="AC32" s="16" t="n">
        <f aca="false">E32-Q32</f>
        <v>-14</v>
      </c>
      <c r="AD32" s="16" t="n">
        <f aca="false">F32-R32</f>
        <v>-1</v>
      </c>
      <c r="AE32" s="16" t="n">
        <f aca="false">G32-S32</f>
        <v>-10</v>
      </c>
      <c r="AF32" s="16" t="n">
        <f aca="false">H32-T32</f>
        <v>-7</v>
      </c>
      <c r="AG32" s="16" t="n">
        <f aca="false">I32-U32</f>
        <v>1</v>
      </c>
      <c r="AH32" s="16" t="n">
        <f aca="false">J32-V32</f>
        <v>1</v>
      </c>
      <c r="AI32" s="16" t="n">
        <f aca="false">K32-W32</f>
        <v>-2.33333333333333</v>
      </c>
      <c r="AJ32" s="16" t="n">
        <f aca="false">L32-X32</f>
        <v>-2</v>
      </c>
      <c r="AK32" s="16" t="n">
        <f aca="false">M32-Y32</f>
        <v>3.5</v>
      </c>
      <c r="AL32" s="16" t="n">
        <f aca="false">N32-Z32</f>
        <v>-14.5</v>
      </c>
    </row>
    <row r="33" customFormat="false" ht="15" hidden="false" customHeight="false" outlineLevel="0" collapsed="false">
      <c r="A33" s="6" t="s">
        <v>31</v>
      </c>
      <c r="B33" s="7" t="s">
        <v>32</v>
      </c>
      <c r="C33" s="38" t="s">
        <v>179</v>
      </c>
      <c r="D33" s="16" t="n">
        <f aca="false">AVERAGEIF('Echuca Games For'!$A$5:$A$25,D$5,'Echuca Games For'!AE$5:AE$25)</f>
        <v>44.5</v>
      </c>
      <c r="E33" s="16" t="n">
        <f aca="false">AVERAGEIF('Echuca Games For'!$A$5:$A$25,E$5,'Echuca Games For'!AE$5:AE$25)</f>
        <v>54</v>
      </c>
      <c r="F33" s="16" t="n">
        <f aca="false">AVERAGEIF('Echuca Games For'!$A$5:$A$25,F$5,'Echuca Games For'!AE$5:AE$25)</f>
        <v>40</v>
      </c>
      <c r="G33" s="16" t="n">
        <f aca="false">AVERAGEIF('Echuca Games For'!$A$5:$A$25,G$5,'Echuca Games For'!AE$5:AE$25)</f>
        <v>40</v>
      </c>
      <c r="H33" s="16" t="n">
        <f aca="false">AVERAGEIF('Echuca Games For'!$A$5:$A$25,H$5,'Echuca Games For'!AE$5:AE$25)</f>
        <v>29.5</v>
      </c>
      <c r="I33" s="16" t="n">
        <f aca="false">AVERAGEIF('Echuca Games For'!$A$5:$A$25,I$5,'Echuca Games For'!AE$5:AE$25)</f>
        <v>58</v>
      </c>
      <c r="J33" s="16" t="n">
        <f aca="false">AVERAGEIF('Echuca Games For'!$A$5:$A$25,J$5,'Echuca Games For'!AE$5:AE$25)</f>
        <v>52</v>
      </c>
      <c r="K33" s="16" t="n">
        <f aca="false">AVERAGEIF('Echuca Games For'!$A$5:$A$25,K$5,'Echuca Games For'!AE$5:AE$25)</f>
        <v>56.6666666666667</v>
      </c>
      <c r="L33" s="16" t="n">
        <f aca="false">AVERAGEIF('Echuca Games For'!$A$5:$A$25,L$5,'Echuca Games For'!AE$5:AE$25)</f>
        <v>42</v>
      </c>
      <c r="M33" s="16" t="n">
        <f aca="false">AVERAGEIF('Echuca Games For'!$A$5:$A$25,M$5,'Echuca Games For'!AE$5:AE$25)</f>
        <v>39.5</v>
      </c>
      <c r="N33" s="16" t="n">
        <f aca="false">AVERAGEIF('Echuca Games For'!$A$5:$A$25,N$5,'Echuca Games For'!AE$5:AE$25)</f>
        <v>40</v>
      </c>
      <c r="P33" s="16" t="n">
        <f aca="false">AVERAGEIF('Echuca Games Against'!$A$5:$A$25,D$5,'Echuca Games Against'!AE$5:AE$25)</f>
        <v>45.5</v>
      </c>
      <c r="Q33" s="16" t="n">
        <f aca="false">AVERAGEIF('Echuca Games Against'!$A$5:$A$25,E$5,'Echuca Games Against'!AE$5:AE$25)</f>
        <v>41</v>
      </c>
      <c r="R33" s="16" t="n">
        <f aca="false">AVERAGEIF('Echuca Games Against'!$A$5:$A$25,F$5,'Echuca Games Against'!AE$5:AE$25)</f>
        <v>35.6666666666667</v>
      </c>
      <c r="S33" s="16" t="n">
        <f aca="false">AVERAGEIF('Echuca Games Against'!$A$5:$A$25,G$5,'Echuca Games Against'!AE$5:AE$25)</f>
        <v>34</v>
      </c>
      <c r="T33" s="16" t="n">
        <f aca="false">AVERAGEIF('Echuca Games Against'!$A$5:$A$25,H$5,'Echuca Games Against'!AE$5:AE$25)</f>
        <v>38.5</v>
      </c>
      <c r="U33" s="16" t="n">
        <f aca="false">AVERAGEIF('Echuca Games Against'!$A$5:$A$25,I$5,'Echuca Games Against'!AE$5:AE$25)</f>
        <v>49.5</v>
      </c>
      <c r="V33" s="16" t="n">
        <f aca="false">AVERAGEIF('Echuca Games Against'!$A$5:$A$25,J$5,'Echuca Games Against'!AE$5:AE$25)</f>
        <v>37</v>
      </c>
      <c r="W33" s="16" t="n">
        <f aca="false">AVERAGEIF('Echuca Games Against'!$A$5:$A$25,K$5,'Echuca Games Against'!AE$5:AE$25)</f>
        <v>52</v>
      </c>
      <c r="X33" s="16" t="n">
        <f aca="false">AVERAGEIF('Echuca Games Against'!$A$5:$A$25,L$5,'Echuca Games Against'!AE$5:AE$25)</f>
        <v>44</v>
      </c>
      <c r="Y33" s="16" t="n">
        <f aca="false">AVERAGEIF('Echuca Games Against'!$A$5:$A$25,M$5,'Echuca Games Against'!AE$5:AE$25)</f>
        <v>35</v>
      </c>
      <c r="Z33" s="16" t="n">
        <f aca="false">AVERAGEIF('Echuca Games Against'!$A$5:$A$25,N$5,'Echuca Games Against'!AE$5:AE$25)</f>
        <v>34</v>
      </c>
      <c r="AB33" s="16" t="n">
        <f aca="false">D33-P33</f>
        <v>-1</v>
      </c>
      <c r="AC33" s="16" t="n">
        <f aca="false">E33-Q33</f>
        <v>13</v>
      </c>
      <c r="AD33" s="16" t="n">
        <f aca="false">F33-R33</f>
        <v>4.33333333333334</v>
      </c>
      <c r="AE33" s="16" t="n">
        <f aca="false">G33-S33</f>
        <v>6</v>
      </c>
      <c r="AF33" s="16" t="n">
        <f aca="false">H33-T33</f>
        <v>-9</v>
      </c>
      <c r="AG33" s="16" t="n">
        <f aca="false">I33-U33</f>
        <v>8.5</v>
      </c>
      <c r="AH33" s="16" t="n">
        <f aca="false">J33-V33</f>
        <v>15</v>
      </c>
      <c r="AI33" s="16" t="n">
        <f aca="false">K33-W33</f>
        <v>4.66666666666666</v>
      </c>
      <c r="AJ33" s="16" t="n">
        <f aca="false">L33-X33</f>
        <v>-2</v>
      </c>
      <c r="AK33" s="16" t="n">
        <f aca="false">M33-Y33</f>
        <v>4.5</v>
      </c>
      <c r="AL33" s="16" t="n">
        <f aca="false">N33-Z33</f>
        <v>6</v>
      </c>
    </row>
    <row r="34" customFormat="false" ht="15" hidden="false" customHeight="false" outlineLevel="0" collapsed="false">
      <c r="A34" s="6" t="s">
        <v>159</v>
      </c>
      <c r="B34" s="7" t="s">
        <v>160</v>
      </c>
      <c r="C34" s="38" t="s">
        <v>180</v>
      </c>
      <c r="D34" s="16" t="n">
        <f aca="false">AVERAGEIF('Echuca Games For'!$A$5:$A$25,D$5,'Echuca Games For'!AF$5:AF$25)</f>
        <v>74.5</v>
      </c>
      <c r="E34" s="16" t="n">
        <f aca="false">AVERAGEIF('Echuca Games For'!$A$5:$A$25,E$5,'Echuca Games For'!AF$5:AF$25)</f>
        <v>69</v>
      </c>
      <c r="F34" s="16" t="n">
        <f aca="false">AVERAGEIF('Echuca Games For'!$A$5:$A$25,F$5,'Echuca Games For'!AF$5:AF$25)</f>
        <v>78.6666666666667</v>
      </c>
      <c r="G34" s="16" t="n">
        <f aca="false">AVERAGEIF('Echuca Games For'!$A$5:$A$25,G$5,'Echuca Games For'!AF$5:AF$25)</f>
        <v>84</v>
      </c>
      <c r="H34" s="16" t="n">
        <f aca="false">AVERAGEIF('Echuca Games For'!$A$5:$A$25,H$5,'Echuca Games For'!AF$5:AF$25)</f>
        <v>63.5</v>
      </c>
      <c r="I34" s="16" t="n">
        <f aca="false">AVERAGEIF('Echuca Games For'!$A$5:$A$25,I$5,'Echuca Games For'!AF$5:AF$25)</f>
        <v>82.5</v>
      </c>
      <c r="J34" s="16" t="n">
        <f aca="false">AVERAGEIF('Echuca Games For'!$A$5:$A$25,J$5,'Echuca Games For'!AF$5:AF$25)</f>
        <v>85</v>
      </c>
      <c r="K34" s="16" t="n">
        <f aca="false">AVERAGEIF('Echuca Games For'!$A$5:$A$25,K$5,'Echuca Games For'!AF$5:AF$25)</f>
        <v>82</v>
      </c>
      <c r="L34" s="16" t="n">
        <f aca="false">AVERAGEIF('Echuca Games For'!$A$5:$A$25,L$5,'Echuca Games For'!AF$5:AF$25)</f>
        <v>75</v>
      </c>
      <c r="M34" s="16" t="n">
        <f aca="false">AVERAGEIF('Echuca Games For'!$A$5:$A$25,M$5,'Echuca Games For'!AF$5:AF$25)</f>
        <v>70.5</v>
      </c>
      <c r="N34" s="16" t="n">
        <f aca="false">AVERAGEIF('Echuca Games For'!$A$5:$A$25,N$5,'Echuca Games For'!AF$5:AF$25)</f>
        <v>60</v>
      </c>
      <c r="P34" s="16" t="n">
        <f aca="false">AVERAGEIF('Echuca Games Against'!$A$5:$A$25,D$5,'Echuca Games Against'!AF$5:AF$25)</f>
        <v>81</v>
      </c>
      <c r="Q34" s="16" t="n">
        <f aca="false">AVERAGEIF('Echuca Games Against'!$A$5:$A$25,E$5,'Echuca Games Against'!AF$5:AF$25)</f>
        <v>91</v>
      </c>
      <c r="R34" s="16" t="n">
        <f aca="false">AVERAGEIF('Echuca Games Against'!$A$5:$A$25,F$5,'Echuca Games Against'!AF$5:AF$25)</f>
        <v>76.6666666666667</v>
      </c>
      <c r="S34" s="16" t="n">
        <f aca="false">AVERAGEIF('Echuca Games Against'!$A$5:$A$25,G$5,'Echuca Games Against'!AF$5:AF$25)</f>
        <v>88</v>
      </c>
      <c r="T34" s="16" t="n">
        <f aca="false">AVERAGEIF('Echuca Games Against'!$A$5:$A$25,H$5,'Echuca Games Against'!AF$5:AF$25)</f>
        <v>76</v>
      </c>
      <c r="U34" s="16" t="n">
        <f aca="false">AVERAGEIF('Echuca Games Against'!$A$5:$A$25,I$5,'Echuca Games Against'!AF$5:AF$25)</f>
        <v>88.5</v>
      </c>
      <c r="V34" s="16" t="n">
        <f aca="false">AVERAGEIF('Echuca Games Against'!$A$5:$A$25,J$5,'Echuca Games Against'!AF$5:AF$25)</f>
        <v>84</v>
      </c>
      <c r="W34" s="16" t="n">
        <f aca="false">AVERAGEIF('Echuca Games Against'!$A$5:$A$25,K$5,'Echuca Games Against'!AF$5:AF$25)</f>
        <v>87.6666666666667</v>
      </c>
      <c r="X34" s="16" t="n">
        <f aca="false">AVERAGEIF('Echuca Games Against'!$A$5:$A$25,L$5,'Echuca Games Against'!AF$5:AF$25)</f>
        <v>75</v>
      </c>
      <c r="Y34" s="16" t="n">
        <f aca="false">AVERAGEIF('Echuca Games Against'!$A$5:$A$25,M$5,'Echuca Games Against'!AF$5:AF$25)</f>
        <v>65</v>
      </c>
      <c r="Z34" s="16" t="n">
        <f aca="false">AVERAGEIF('Echuca Games Against'!$A$5:$A$25,N$5,'Echuca Games Against'!AF$5:AF$25)</f>
        <v>66.5</v>
      </c>
      <c r="AB34" s="16" t="n">
        <f aca="false">D34-P34</f>
        <v>-6.5</v>
      </c>
      <c r="AC34" s="16" t="n">
        <f aca="false">E34-Q34</f>
        <v>-22</v>
      </c>
      <c r="AD34" s="16" t="n">
        <f aca="false">F34-R34</f>
        <v>2</v>
      </c>
      <c r="AE34" s="16" t="n">
        <f aca="false">G34-S34</f>
        <v>-4</v>
      </c>
      <c r="AF34" s="16" t="n">
        <f aca="false">H34-T34</f>
        <v>-12.5</v>
      </c>
      <c r="AG34" s="16" t="n">
        <f aca="false">I34-U34</f>
        <v>-6</v>
      </c>
      <c r="AH34" s="16" t="n">
        <f aca="false">J34-V34</f>
        <v>1</v>
      </c>
      <c r="AI34" s="16" t="n">
        <f aca="false">K34-W34</f>
        <v>-5.66666666666667</v>
      </c>
      <c r="AJ34" s="16" t="n">
        <f aca="false">L34-X34</f>
        <v>0</v>
      </c>
      <c r="AK34" s="16" t="n">
        <f aca="false">M34-Y34</f>
        <v>5.5</v>
      </c>
      <c r="AL34" s="16" t="n">
        <f aca="false">N34-Z34</f>
        <v>-6.5</v>
      </c>
    </row>
    <row r="35" customFormat="false" ht="15" hidden="false" customHeight="false" outlineLevel="0" collapsed="false">
      <c r="A35" s="6" t="s">
        <v>39</v>
      </c>
      <c r="B35" s="7" t="s">
        <v>40</v>
      </c>
      <c r="C35" s="38" t="s">
        <v>180</v>
      </c>
      <c r="D35" s="16" t="n">
        <f aca="false">AVERAGEIF('Echuca Games For'!$A$5:$A$25,D$5,'Echuca Games For'!AG$5:AG$25)</f>
        <v>3</v>
      </c>
      <c r="E35" s="16" t="n">
        <f aca="false">AVERAGEIF('Echuca Games For'!$A$5:$A$25,E$5,'Echuca Games For'!AG$5:AG$25)</f>
        <v>3</v>
      </c>
      <c r="F35" s="16" t="n">
        <f aca="false">AVERAGEIF('Echuca Games For'!$A$5:$A$25,F$5,'Echuca Games For'!AG$5:AG$25)</f>
        <v>5</v>
      </c>
      <c r="G35" s="16" t="n">
        <f aca="false">AVERAGEIF('Echuca Games For'!$A$5:$A$25,G$5,'Echuca Games For'!AG$5:AG$25)</f>
        <v>6</v>
      </c>
      <c r="H35" s="16" t="n">
        <f aca="false">AVERAGEIF('Echuca Games For'!$A$5:$A$25,H$5,'Echuca Games For'!AG$5:AG$25)</f>
        <v>1.5</v>
      </c>
      <c r="I35" s="16" t="n">
        <f aca="false">AVERAGEIF('Echuca Games For'!$A$5:$A$25,I$5,'Echuca Games For'!AG$5:AG$25)</f>
        <v>8.5</v>
      </c>
      <c r="J35" s="16" t="n">
        <f aca="false">AVERAGEIF('Echuca Games For'!$A$5:$A$25,J$5,'Echuca Games For'!AG$5:AG$25)</f>
        <v>8</v>
      </c>
      <c r="K35" s="16" t="n">
        <f aca="false">AVERAGEIF('Echuca Games For'!$A$5:$A$25,K$5,'Echuca Games For'!AG$5:AG$25)</f>
        <v>6</v>
      </c>
      <c r="L35" s="16" t="n">
        <f aca="false">AVERAGEIF('Echuca Games For'!$A$5:$A$25,L$5,'Echuca Games For'!AG$5:AG$25)</f>
        <v>3</v>
      </c>
      <c r="M35" s="16" t="n">
        <f aca="false">AVERAGEIF('Echuca Games For'!$A$5:$A$25,M$5,'Echuca Games For'!AG$5:AG$25)</f>
        <v>4.5</v>
      </c>
      <c r="N35" s="16" t="n">
        <f aca="false">AVERAGEIF('Echuca Games For'!$A$5:$A$25,N$5,'Echuca Games For'!AG$5:AG$25)</f>
        <v>1</v>
      </c>
      <c r="P35" s="16" t="n">
        <f aca="false">AVERAGEIF('Echuca Games Against'!$A$5:$A$25,D$5,'Echuca Games Against'!AG$5:AG$25)</f>
        <v>6.5</v>
      </c>
      <c r="Q35" s="16" t="n">
        <f aca="false">AVERAGEIF('Echuca Games Against'!$A$5:$A$25,E$5,'Echuca Games Against'!AG$5:AG$25)</f>
        <v>8</v>
      </c>
      <c r="R35" s="16" t="n">
        <f aca="false">AVERAGEIF('Echuca Games Against'!$A$5:$A$25,F$5,'Echuca Games Against'!AG$5:AG$25)</f>
        <v>3.66666666666667</v>
      </c>
      <c r="S35" s="16" t="n">
        <f aca="false">AVERAGEIF('Echuca Games Against'!$A$5:$A$25,G$5,'Echuca Games Against'!AG$5:AG$25)</f>
        <v>9</v>
      </c>
      <c r="T35" s="16" t="n">
        <f aca="false">AVERAGEIF('Echuca Games Against'!$A$5:$A$25,H$5,'Echuca Games Against'!AG$5:AG$25)</f>
        <v>6.5</v>
      </c>
      <c r="U35" s="16" t="n">
        <f aca="false">AVERAGEIF('Echuca Games Against'!$A$5:$A$25,I$5,'Echuca Games Against'!AG$5:AG$25)</f>
        <v>6.5</v>
      </c>
      <c r="V35" s="16" t="n">
        <f aca="false">AVERAGEIF('Echuca Games Against'!$A$5:$A$25,J$5,'Echuca Games Against'!AG$5:AG$25)</f>
        <v>5.5</v>
      </c>
      <c r="W35" s="16" t="n">
        <f aca="false">AVERAGEIF('Echuca Games Against'!$A$5:$A$25,K$5,'Echuca Games Against'!AG$5:AG$25)</f>
        <v>5.33333333333333</v>
      </c>
      <c r="X35" s="16" t="n">
        <f aca="false">AVERAGEIF('Echuca Games Against'!$A$5:$A$25,L$5,'Echuca Games Against'!AG$5:AG$25)</f>
        <v>5</v>
      </c>
      <c r="Y35" s="16" t="n">
        <f aca="false">AVERAGEIF('Echuca Games Against'!$A$5:$A$25,M$5,'Echuca Games Against'!AG$5:AG$25)</f>
        <v>7</v>
      </c>
      <c r="Z35" s="16" t="n">
        <f aca="false">AVERAGEIF('Echuca Games Against'!$A$5:$A$25,N$5,'Echuca Games Against'!AG$5:AG$25)</f>
        <v>4</v>
      </c>
      <c r="AB35" s="16" t="n">
        <f aca="false">D35-P35</f>
        <v>-3.5</v>
      </c>
      <c r="AC35" s="16" t="n">
        <f aca="false">E35-Q35</f>
        <v>-5</v>
      </c>
      <c r="AD35" s="16" t="n">
        <f aca="false">F35-R35</f>
        <v>1.33333333333333</v>
      </c>
      <c r="AE35" s="16" t="n">
        <f aca="false">G35-S35</f>
        <v>-3</v>
      </c>
      <c r="AF35" s="16" t="n">
        <f aca="false">H35-T35</f>
        <v>-5</v>
      </c>
      <c r="AG35" s="16" t="n">
        <f aca="false">I35-U35</f>
        <v>2</v>
      </c>
      <c r="AH35" s="16" t="n">
        <f aca="false">J35-V35</f>
        <v>2.5</v>
      </c>
      <c r="AI35" s="16" t="n">
        <f aca="false">K35-W35</f>
        <v>0.666666666666667</v>
      </c>
      <c r="AJ35" s="16" t="n">
        <f aca="false">L35-X35</f>
        <v>-2</v>
      </c>
      <c r="AK35" s="16" t="n">
        <f aca="false">M35-Y35</f>
        <v>-2.5</v>
      </c>
      <c r="AL35" s="16" t="n">
        <f aca="false">N35-Z35</f>
        <v>-3</v>
      </c>
    </row>
    <row r="36" customFormat="false" ht="15" hidden="false" customHeight="false" outlineLevel="0" collapsed="false">
      <c r="A36" s="6" t="s">
        <v>125</v>
      </c>
      <c r="B36" s="7" t="s">
        <v>126</v>
      </c>
      <c r="C36" s="38" t="s">
        <v>180</v>
      </c>
      <c r="D36" s="16" t="n">
        <f aca="false">AVERAGEIF('Echuca Games For'!$A$5:$A$25,D$5,'Echuca Games For'!AH$5:AH$25)</f>
        <v>42.5</v>
      </c>
      <c r="E36" s="16" t="n">
        <f aca="false">AVERAGEIF('Echuca Games For'!$A$5:$A$25,E$5,'Echuca Games For'!AH$5:AH$25)</f>
        <v>27</v>
      </c>
      <c r="F36" s="16" t="n">
        <f aca="false">AVERAGEIF('Echuca Games For'!$A$5:$A$25,F$5,'Echuca Games For'!AH$5:AH$25)</f>
        <v>48</v>
      </c>
      <c r="G36" s="16" t="n">
        <f aca="false">AVERAGEIF('Echuca Games For'!$A$5:$A$25,G$5,'Echuca Games For'!AH$5:AH$25)</f>
        <v>50</v>
      </c>
      <c r="H36" s="16" t="n">
        <f aca="false">AVERAGEIF('Echuca Games For'!$A$5:$A$25,H$5,'Echuca Games For'!AH$5:AH$25)</f>
        <v>33</v>
      </c>
      <c r="I36" s="16" t="n">
        <f aca="false">AVERAGEIF('Echuca Games For'!$A$5:$A$25,I$5,'Echuca Games For'!AH$5:AH$25)</f>
        <v>49.5</v>
      </c>
      <c r="J36" s="16" t="n">
        <f aca="false">AVERAGEIF('Echuca Games For'!$A$5:$A$25,J$5,'Echuca Games For'!AH$5:AH$25)</f>
        <v>49.5</v>
      </c>
      <c r="K36" s="16" t="n">
        <f aca="false">AVERAGEIF('Echuca Games For'!$A$5:$A$25,K$5,'Echuca Games For'!AH$5:AH$25)</f>
        <v>51</v>
      </c>
      <c r="L36" s="16" t="n">
        <f aca="false">AVERAGEIF('Echuca Games For'!$A$5:$A$25,L$5,'Echuca Games For'!AH$5:AH$25)</f>
        <v>41</v>
      </c>
      <c r="M36" s="16" t="n">
        <f aca="false">AVERAGEIF('Echuca Games For'!$A$5:$A$25,M$5,'Echuca Games For'!AH$5:AH$25)</f>
        <v>40.5</v>
      </c>
      <c r="N36" s="16" t="n">
        <f aca="false">AVERAGEIF('Echuca Games For'!$A$5:$A$25,N$5,'Echuca Games For'!AH$5:AH$25)</f>
        <v>31.5</v>
      </c>
      <c r="P36" s="16" t="n">
        <f aca="false">AVERAGEIF('Echuca Games Against'!$A$5:$A$25,D$5,'Echuca Games Against'!AH$5:AH$25)</f>
        <v>57.5</v>
      </c>
      <c r="Q36" s="16" t="n">
        <f aca="false">AVERAGEIF('Echuca Games Against'!$A$5:$A$25,E$5,'Echuca Games Against'!AH$5:AH$25)</f>
        <v>59</v>
      </c>
      <c r="R36" s="16" t="n">
        <f aca="false">AVERAGEIF('Echuca Games Against'!$A$5:$A$25,F$5,'Echuca Games Against'!AH$5:AH$25)</f>
        <v>47</v>
      </c>
      <c r="S36" s="16" t="n">
        <f aca="false">AVERAGEIF('Echuca Games Against'!$A$5:$A$25,G$5,'Echuca Games Against'!AH$5:AH$25)</f>
        <v>48</v>
      </c>
      <c r="T36" s="16" t="n">
        <f aca="false">AVERAGEIF('Echuca Games Against'!$A$5:$A$25,H$5,'Echuca Games Against'!AH$5:AH$25)</f>
        <v>53</v>
      </c>
      <c r="U36" s="16" t="n">
        <f aca="false">AVERAGEIF('Echuca Games Against'!$A$5:$A$25,I$5,'Echuca Games Against'!AH$5:AH$25)</f>
        <v>52.5</v>
      </c>
      <c r="V36" s="16" t="n">
        <f aca="false">AVERAGEIF('Echuca Games Against'!$A$5:$A$25,J$5,'Echuca Games Against'!AH$5:AH$25)</f>
        <v>52.5</v>
      </c>
      <c r="W36" s="16" t="n">
        <f aca="false">AVERAGEIF('Echuca Games Against'!$A$5:$A$25,K$5,'Echuca Games Against'!AH$5:AH$25)</f>
        <v>51.6666666666667</v>
      </c>
      <c r="X36" s="16" t="n">
        <f aca="false">AVERAGEIF('Echuca Games Against'!$A$5:$A$25,L$5,'Echuca Games Against'!AH$5:AH$25)</f>
        <v>55</v>
      </c>
      <c r="Y36" s="16" t="n">
        <f aca="false">AVERAGEIF('Echuca Games Against'!$A$5:$A$25,M$5,'Echuca Games Against'!AH$5:AH$25)</f>
        <v>41.5</v>
      </c>
      <c r="Z36" s="16" t="n">
        <f aca="false">AVERAGEIF('Echuca Games Against'!$A$5:$A$25,N$5,'Echuca Games Against'!AH$5:AH$25)</f>
        <v>49</v>
      </c>
      <c r="AB36" s="16" t="n">
        <f aca="false">D36-P36</f>
        <v>-15</v>
      </c>
      <c r="AC36" s="16" t="n">
        <f aca="false">E36-Q36</f>
        <v>-32</v>
      </c>
      <c r="AD36" s="16" t="n">
        <f aca="false">F36-R36</f>
        <v>1</v>
      </c>
      <c r="AE36" s="16" t="n">
        <f aca="false">G36-S36</f>
        <v>2</v>
      </c>
      <c r="AF36" s="16" t="n">
        <f aca="false">H36-T36</f>
        <v>-20</v>
      </c>
      <c r="AG36" s="16" t="n">
        <f aca="false">I36-U36</f>
        <v>-3</v>
      </c>
      <c r="AH36" s="16" t="n">
        <f aca="false">J36-V36</f>
        <v>-3</v>
      </c>
      <c r="AI36" s="16" t="n">
        <f aca="false">K36-W36</f>
        <v>-0.666666666666664</v>
      </c>
      <c r="AJ36" s="16" t="n">
        <f aca="false">L36-X36</f>
        <v>-14</v>
      </c>
      <c r="AK36" s="16" t="n">
        <f aca="false">M36-Y36</f>
        <v>-1</v>
      </c>
      <c r="AL36" s="16" t="n">
        <f aca="false">N36-Z36</f>
        <v>-17.5</v>
      </c>
    </row>
    <row r="37" customFormat="false" ht="15" hidden="false" customHeight="false" outlineLevel="0" collapsed="false">
      <c r="A37" s="6" t="s">
        <v>71</v>
      </c>
      <c r="B37" s="7" t="s">
        <v>72</v>
      </c>
      <c r="C37" s="38" t="s">
        <v>180</v>
      </c>
      <c r="D37" s="16" t="n">
        <f aca="false">AVERAGEIF('Echuca Games For'!$A$5:$A$25,D$5,'Echuca Games For'!AI$5:AI$25)</f>
        <v>29</v>
      </c>
      <c r="E37" s="16" t="n">
        <f aca="false">AVERAGEIF('Echuca Games For'!$A$5:$A$25,E$5,'Echuca Games For'!AI$5:AI$25)</f>
        <v>39</v>
      </c>
      <c r="F37" s="16" t="n">
        <f aca="false">AVERAGEIF('Echuca Games For'!$A$5:$A$25,F$5,'Echuca Games For'!AI$5:AI$25)</f>
        <v>25.6666666666667</v>
      </c>
      <c r="G37" s="16" t="n">
        <f aca="false">AVERAGEIF('Echuca Games For'!$A$5:$A$25,G$5,'Echuca Games For'!AI$5:AI$25)</f>
        <v>28</v>
      </c>
      <c r="H37" s="16" t="n">
        <f aca="false">AVERAGEIF('Echuca Games For'!$A$5:$A$25,H$5,'Echuca Games For'!AI$5:AI$25)</f>
        <v>29</v>
      </c>
      <c r="I37" s="16" t="n">
        <f aca="false">AVERAGEIF('Echuca Games For'!$A$5:$A$25,I$5,'Echuca Games For'!AI$5:AI$25)</f>
        <v>24.5</v>
      </c>
      <c r="J37" s="16" t="n">
        <f aca="false">AVERAGEIF('Echuca Games For'!$A$5:$A$25,J$5,'Echuca Games For'!AI$5:AI$25)</f>
        <v>27.5</v>
      </c>
      <c r="K37" s="16" t="n">
        <f aca="false">AVERAGEIF('Echuca Games For'!$A$5:$A$25,K$5,'Echuca Games For'!AI$5:AI$25)</f>
        <v>25</v>
      </c>
      <c r="L37" s="16" t="n">
        <f aca="false">AVERAGEIF('Echuca Games For'!$A$5:$A$25,L$5,'Echuca Games For'!AI$5:AI$25)</f>
        <v>31</v>
      </c>
      <c r="M37" s="16" t="n">
        <f aca="false">AVERAGEIF('Echuca Games For'!$A$5:$A$25,M$5,'Echuca Games For'!AI$5:AI$25)</f>
        <v>25.5</v>
      </c>
      <c r="N37" s="16" t="n">
        <f aca="false">AVERAGEIF('Echuca Games For'!$A$5:$A$25,N$5,'Echuca Games For'!AI$5:AI$25)</f>
        <v>27.5</v>
      </c>
      <c r="P37" s="16" t="n">
        <f aca="false">AVERAGEIF('Echuca Games Against'!$A$5:$A$25,D$5,'Echuca Games Against'!AI$5:AI$25)</f>
        <v>17</v>
      </c>
      <c r="Q37" s="16" t="n">
        <f aca="false">AVERAGEIF('Echuca Games Against'!$A$5:$A$25,E$5,'Echuca Games Against'!AI$5:AI$25)</f>
        <v>24</v>
      </c>
      <c r="R37" s="16" t="n">
        <f aca="false">AVERAGEIF('Echuca Games Against'!$A$5:$A$25,F$5,'Echuca Games Against'!AI$5:AI$25)</f>
        <v>26</v>
      </c>
      <c r="S37" s="16" t="n">
        <f aca="false">AVERAGEIF('Echuca Games Against'!$A$5:$A$25,G$5,'Echuca Games Against'!AI$5:AI$25)</f>
        <v>31</v>
      </c>
      <c r="T37" s="16" t="n">
        <f aca="false">AVERAGEIF('Echuca Games Against'!$A$5:$A$25,H$5,'Echuca Games Against'!AI$5:AI$25)</f>
        <v>16.5</v>
      </c>
      <c r="U37" s="16" t="n">
        <f aca="false">AVERAGEIF('Echuca Games Against'!$A$5:$A$25,I$5,'Echuca Games Against'!AI$5:AI$25)</f>
        <v>29.5</v>
      </c>
      <c r="V37" s="16" t="n">
        <f aca="false">AVERAGEIF('Echuca Games Against'!$A$5:$A$25,J$5,'Echuca Games Against'!AI$5:AI$25)</f>
        <v>26</v>
      </c>
      <c r="W37" s="16" t="n">
        <f aca="false">AVERAGEIF('Echuca Games Against'!$A$5:$A$25,K$5,'Echuca Games Against'!AI$5:AI$25)</f>
        <v>30.6666666666667</v>
      </c>
      <c r="X37" s="16" t="n">
        <f aca="false">AVERAGEIF('Echuca Games Against'!$A$5:$A$25,L$5,'Echuca Games Against'!AI$5:AI$25)</f>
        <v>15</v>
      </c>
      <c r="Y37" s="16" t="n">
        <f aca="false">AVERAGEIF('Echuca Games Against'!$A$5:$A$25,M$5,'Echuca Games Against'!AI$5:AI$25)</f>
        <v>16.5</v>
      </c>
      <c r="Z37" s="16" t="n">
        <f aca="false">AVERAGEIF('Echuca Games Against'!$A$5:$A$25,N$5,'Echuca Games Against'!AI$5:AI$25)</f>
        <v>13.5</v>
      </c>
      <c r="AB37" s="16" t="n">
        <f aca="false">D37-P37</f>
        <v>12</v>
      </c>
      <c r="AC37" s="16" t="n">
        <f aca="false">E37-Q37</f>
        <v>15</v>
      </c>
      <c r="AD37" s="16" t="n">
        <f aca="false">F37-R37</f>
        <v>-0.333333333333332</v>
      </c>
      <c r="AE37" s="16" t="n">
        <f aca="false">G37-S37</f>
        <v>-3</v>
      </c>
      <c r="AF37" s="16" t="n">
        <f aca="false">H37-T37</f>
        <v>12.5</v>
      </c>
      <c r="AG37" s="16" t="n">
        <f aca="false">I37-U37</f>
        <v>-5</v>
      </c>
      <c r="AH37" s="16" t="n">
        <f aca="false">J37-V37</f>
        <v>1.5</v>
      </c>
      <c r="AI37" s="16" t="n">
        <f aca="false">K37-W37</f>
        <v>-5.66666666666667</v>
      </c>
      <c r="AJ37" s="16" t="n">
        <f aca="false">L37-X37</f>
        <v>16</v>
      </c>
      <c r="AK37" s="16" t="n">
        <f aca="false">M37-Y37</f>
        <v>9</v>
      </c>
      <c r="AL37" s="16" t="n">
        <f aca="false">N37-Z37</f>
        <v>14</v>
      </c>
    </row>
    <row r="38" customFormat="false" ht="15" hidden="false" customHeight="false" outlineLevel="0" collapsed="false">
      <c r="A38" s="6" t="s">
        <v>127</v>
      </c>
      <c r="B38" s="7" t="s">
        <v>128</v>
      </c>
      <c r="C38" s="38" t="s">
        <v>179</v>
      </c>
      <c r="D38" s="16" t="n">
        <f aca="false">AVERAGEIF('Echuca Games For'!$A$5:$A$25,D$5,'Echuca Games For'!AJ$5:AJ$25)</f>
        <v>118</v>
      </c>
      <c r="E38" s="16" t="n">
        <f aca="false">AVERAGEIF('Echuca Games For'!$A$5:$A$25,E$5,'Echuca Games For'!AJ$5:AJ$25)</f>
        <v>118</v>
      </c>
      <c r="F38" s="16" t="n">
        <f aca="false">AVERAGEIF('Echuca Games For'!$A$5:$A$25,F$5,'Echuca Games For'!AJ$5:AJ$25)</f>
        <v>117.333333333333</v>
      </c>
      <c r="G38" s="16" t="n">
        <f aca="false">AVERAGEIF('Echuca Games For'!$A$5:$A$25,G$5,'Echuca Games For'!AJ$5:AJ$25)</f>
        <v>129</v>
      </c>
      <c r="H38" s="16" t="n">
        <f aca="false">AVERAGEIF('Echuca Games For'!$A$5:$A$25,H$5,'Echuca Games For'!AJ$5:AJ$25)</f>
        <v>146</v>
      </c>
      <c r="I38" s="16" t="n">
        <f aca="false">AVERAGEIF('Echuca Games For'!$A$5:$A$25,I$5,'Echuca Games For'!AJ$5:AJ$25)</f>
        <v>163.5</v>
      </c>
      <c r="J38" s="16" t="n">
        <f aca="false">AVERAGEIF('Echuca Games For'!$A$5:$A$25,J$5,'Echuca Games For'!AJ$5:AJ$25)</f>
        <v>128.5</v>
      </c>
      <c r="K38" s="16" t="n">
        <f aca="false">AVERAGEIF('Echuca Games For'!$A$5:$A$25,K$5,'Echuca Games For'!AJ$5:AJ$25)</f>
        <v>129.333333333333</v>
      </c>
      <c r="L38" s="16" t="n">
        <f aca="false">AVERAGEIF('Echuca Games For'!$A$5:$A$25,L$5,'Echuca Games For'!AJ$5:AJ$25)</f>
        <v>125</v>
      </c>
      <c r="M38" s="16" t="n">
        <f aca="false">AVERAGEIF('Echuca Games For'!$A$5:$A$25,M$5,'Echuca Games For'!AJ$5:AJ$25)</f>
        <v>120</v>
      </c>
      <c r="N38" s="16" t="n">
        <f aca="false">AVERAGEIF('Echuca Games For'!$A$5:$A$25,N$5,'Echuca Games For'!AJ$5:AJ$25)</f>
        <v>126.5</v>
      </c>
      <c r="P38" s="16" t="n">
        <f aca="false">AVERAGEIF('Echuca Games Against'!$A$5:$A$25,D$5,'Echuca Games Against'!AJ$5:AJ$25)</f>
        <v>105.5</v>
      </c>
      <c r="Q38" s="16" t="n">
        <f aca="false">AVERAGEIF('Echuca Games Against'!$A$5:$A$25,E$5,'Echuca Games Against'!AJ$5:AJ$25)</f>
        <v>136</v>
      </c>
      <c r="R38" s="16" t="n">
        <f aca="false">AVERAGEIF('Echuca Games Against'!$A$5:$A$25,F$5,'Echuca Games Against'!AJ$5:AJ$25)</f>
        <v>102.333333333333</v>
      </c>
      <c r="S38" s="16" t="n">
        <f aca="false">AVERAGEIF('Echuca Games Against'!$A$5:$A$25,G$5,'Echuca Games Against'!AJ$5:AJ$25)</f>
        <v>128</v>
      </c>
      <c r="T38" s="16" t="n">
        <f aca="false">AVERAGEIF('Echuca Games Against'!$A$5:$A$25,H$5,'Echuca Games Against'!AJ$5:AJ$25)</f>
        <v>124</v>
      </c>
      <c r="U38" s="16" t="n">
        <f aca="false">AVERAGEIF('Echuca Games Against'!$A$5:$A$25,I$5,'Echuca Games Against'!AJ$5:AJ$25)</f>
        <v>123</v>
      </c>
      <c r="V38" s="16" t="n">
        <f aca="false">AVERAGEIF('Echuca Games Against'!$A$5:$A$25,J$5,'Echuca Games Against'!AJ$5:AJ$25)</f>
        <v>116</v>
      </c>
      <c r="W38" s="16" t="n">
        <f aca="false">AVERAGEIF('Echuca Games Against'!$A$5:$A$25,K$5,'Echuca Games Against'!AJ$5:AJ$25)</f>
        <v>128.666666666667</v>
      </c>
      <c r="X38" s="16" t="n">
        <f aca="false">AVERAGEIF('Echuca Games Against'!$A$5:$A$25,L$5,'Echuca Games Against'!AJ$5:AJ$25)</f>
        <v>130</v>
      </c>
      <c r="Y38" s="16" t="n">
        <f aca="false">AVERAGEIF('Echuca Games Against'!$A$5:$A$25,M$5,'Echuca Games Against'!AJ$5:AJ$25)</f>
        <v>101</v>
      </c>
      <c r="Z38" s="16" t="n">
        <f aca="false">AVERAGEIF('Echuca Games Against'!$A$5:$A$25,N$5,'Echuca Games Against'!AJ$5:AJ$25)</f>
        <v>109.5</v>
      </c>
      <c r="AB38" s="16" t="n">
        <f aca="false">D38-P38</f>
        <v>12.5</v>
      </c>
      <c r="AC38" s="16" t="n">
        <f aca="false">E38-Q38</f>
        <v>-18</v>
      </c>
      <c r="AD38" s="16" t="n">
        <f aca="false">F38-R38</f>
        <v>15</v>
      </c>
      <c r="AE38" s="16" t="n">
        <f aca="false">G38-S38</f>
        <v>1</v>
      </c>
      <c r="AF38" s="16" t="n">
        <f aca="false">H38-T38</f>
        <v>22</v>
      </c>
      <c r="AG38" s="16" t="n">
        <f aca="false">I38-U38</f>
        <v>40.5</v>
      </c>
      <c r="AH38" s="16" t="n">
        <f aca="false">J38-V38</f>
        <v>12.5</v>
      </c>
      <c r="AI38" s="16" t="n">
        <f aca="false">K38-W38</f>
        <v>0.666666666666686</v>
      </c>
      <c r="AJ38" s="16" t="n">
        <f aca="false">L38-X38</f>
        <v>-5</v>
      </c>
      <c r="AK38" s="16" t="n">
        <f aca="false">M38-Y38</f>
        <v>19</v>
      </c>
      <c r="AL38" s="16" t="n">
        <f aca="false">N38-Z38</f>
        <v>17</v>
      </c>
    </row>
    <row r="39" customFormat="false" ht="15" hidden="false" customHeight="false" outlineLevel="0" collapsed="false">
      <c r="A39" s="6" t="s">
        <v>129</v>
      </c>
      <c r="B39" s="7" t="s">
        <v>130</v>
      </c>
      <c r="C39" s="38" t="s">
        <v>179</v>
      </c>
      <c r="D39" s="16" t="n">
        <f aca="false">AVERAGEIF('Echuca Games For'!$A$5:$A$25,D$5,'Echuca Games For'!AK$5:AK$25)</f>
        <v>39</v>
      </c>
      <c r="E39" s="16" t="n">
        <f aca="false">AVERAGEIF('Echuca Games For'!$A$5:$A$25,E$5,'Echuca Games For'!AK$5:AK$25)</f>
        <v>42</v>
      </c>
      <c r="F39" s="16" t="n">
        <f aca="false">AVERAGEIF('Echuca Games For'!$A$5:$A$25,F$5,'Echuca Games For'!AK$5:AK$25)</f>
        <v>36</v>
      </c>
      <c r="G39" s="16" t="n">
        <f aca="false">AVERAGEIF('Echuca Games For'!$A$5:$A$25,G$5,'Echuca Games For'!AK$5:AK$25)</f>
        <v>49</v>
      </c>
      <c r="H39" s="16" t="n">
        <f aca="false">AVERAGEIF('Echuca Games For'!$A$5:$A$25,H$5,'Echuca Games For'!AK$5:AK$25)</f>
        <v>71</v>
      </c>
      <c r="I39" s="16" t="n">
        <f aca="false">AVERAGEIF('Echuca Games For'!$A$5:$A$25,I$5,'Echuca Games For'!AK$5:AK$25)</f>
        <v>56.5</v>
      </c>
      <c r="J39" s="16" t="n">
        <f aca="false">AVERAGEIF('Echuca Games For'!$A$5:$A$25,J$5,'Echuca Games For'!AK$5:AK$25)</f>
        <v>51</v>
      </c>
      <c r="K39" s="16" t="n">
        <f aca="false">AVERAGEIF('Echuca Games For'!$A$5:$A$25,K$5,'Echuca Games For'!AK$5:AK$25)</f>
        <v>46</v>
      </c>
      <c r="L39" s="16" t="n">
        <f aca="false">AVERAGEIF('Echuca Games For'!$A$5:$A$25,L$5,'Echuca Games For'!AK$5:AK$25)</f>
        <v>42</v>
      </c>
      <c r="M39" s="16" t="n">
        <f aca="false">AVERAGEIF('Echuca Games For'!$A$5:$A$25,M$5,'Echuca Games For'!AK$5:AK$25)</f>
        <v>35.5</v>
      </c>
      <c r="N39" s="16" t="n">
        <f aca="false">AVERAGEIF('Echuca Games For'!$A$5:$A$25,N$5,'Echuca Games For'!AK$5:AK$25)</f>
        <v>46.5</v>
      </c>
      <c r="P39" s="16" t="n">
        <f aca="false">AVERAGEIF('Echuca Games Against'!$A$5:$A$25,D$5,'Echuca Games Against'!AK$5:AK$25)</f>
        <v>48.5</v>
      </c>
      <c r="Q39" s="16" t="n">
        <f aca="false">AVERAGEIF('Echuca Games Against'!$A$5:$A$25,E$5,'Echuca Games Against'!AK$5:AK$25)</f>
        <v>66</v>
      </c>
      <c r="R39" s="16" t="n">
        <f aca="false">AVERAGEIF('Echuca Games Against'!$A$5:$A$25,F$5,'Echuca Games Against'!AK$5:AK$25)</f>
        <v>37.3333333333333</v>
      </c>
      <c r="S39" s="16" t="n">
        <f aca="false">AVERAGEIF('Echuca Games Against'!$A$5:$A$25,G$5,'Echuca Games Against'!AK$5:AK$25)</f>
        <v>39</v>
      </c>
      <c r="T39" s="16" t="n">
        <f aca="false">AVERAGEIF('Echuca Games Against'!$A$5:$A$25,H$5,'Echuca Games Against'!AK$5:AK$25)</f>
        <v>54</v>
      </c>
      <c r="U39" s="16" t="n">
        <f aca="false">AVERAGEIF('Echuca Games Against'!$A$5:$A$25,I$5,'Echuca Games Against'!AK$5:AK$25)</f>
        <v>37</v>
      </c>
      <c r="V39" s="16" t="n">
        <f aca="false">AVERAGEIF('Echuca Games Against'!$A$5:$A$25,J$5,'Echuca Games Against'!AK$5:AK$25)</f>
        <v>51</v>
      </c>
      <c r="W39" s="16" t="n">
        <f aca="false">AVERAGEIF('Echuca Games Against'!$A$5:$A$25,K$5,'Echuca Games Against'!AK$5:AK$25)</f>
        <v>54.6666666666667</v>
      </c>
      <c r="X39" s="16" t="n">
        <f aca="false">AVERAGEIF('Echuca Games Against'!$A$5:$A$25,L$5,'Echuca Games Against'!AK$5:AK$25)</f>
        <v>59</v>
      </c>
      <c r="Y39" s="16" t="n">
        <f aca="false">AVERAGEIF('Echuca Games Against'!$A$5:$A$25,M$5,'Echuca Games Against'!AK$5:AK$25)</f>
        <v>29.5</v>
      </c>
      <c r="Z39" s="16" t="n">
        <f aca="false">AVERAGEIF('Echuca Games Against'!$A$5:$A$25,N$5,'Echuca Games Against'!AK$5:AK$25)</f>
        <v>44</v>
      </c>
      <c r="AB39" s="16" t="n">
        <f aca="false">D39-P39</f>
        <v>-9.5</v>
      </c>
      <c r="AC39" s="16" t="n">
        <f aca="false">E39-Q39</f>
        <v>-24</v>
      </c>
      <c r="AD39" s="16" t="n">
        <f aca="false">F39-R39</f>
        <v>-1.33333333333334</v>
      </c>
      <c r="AE39" s="16" t="n">
        <f aca="false">G39-S39</f>
        <v>10</v>
      </c>
      <c r="AF39" s="16" t="n">
        <f aca="false">H39-T39</f>
        <v>17</v>
      </c>
      <c r="AG39" s="16" t="n">
        <f aca="false">I39-U39</f>
        <v>19.5</v>
      </c>
      <c r="AH39" s="16" t="n">
        <f aca="false">J39-V39</f>
        <v>0</v>
      </c>
      <c r="AI39" s="16" t="n">
        <f aca="false">K39-W39</f>
        <v>-8.66666666666666</v>
      </c>
      <c r="AJ39" s="16" t="n">
        <f aca="false">L39-X39</f>
        <v>-17</v>
      </c>
      <c r="AK39" s="16" t="n">
        <f aca="false">M39-Y39</f>
        <v>6</v>
      </c>
      <c r="AL39" s="16" t="n">
        <f aca="false">N39-Z39</f>
        <v>2.5</v>
      </c>
    </row>
    <row r="40" customFormat="false" ht="15" hidden="false" customHeight="false" outlineLevel="0" collapsed="false">
      <c r="A40" s="6" t="s">
        <v>51</v>
      </c>
      <c r="B40" s="7" t="s">
        <v>52</v>
      </c>
      <c r="C40" s="38" t="s">
        <v>179</v>
      </c>
      <c r="D40" s="16" t="n">
        <f aca="false">AVERAGEIF('Echuca Games For'!$A$5:$A$25,D$5,'Echuca Games For'!AL$5:AL$25)</f>
        <v>10</v>
      </c>
      <c r="E40" s="16" t="n">
        <f aca="false">AVERAGEIF('Echuca Games For'!$A$5:$A$25,E$5,'Echuca Games For'!AL$5:AL$25)</f>
        <v>11</v>
      </c>
      <c r="F40" s="16" t="n">
        <f aca="false">AVERAGEIF('Echuca Games For'!$A$5:$A$25,F$5,'Echuca Games For'!AL$5:AL$25)</f>
        <v>13.6666666666667</v>
      </c>
      <c r="G40" s="16" t="n">
        <f aca="false">AVERAGEIF('Echuca Games For'!$A$5:$A$25,G$5,'Echuca Games For'!AL$5:AL$25)</f>
        <v>6</v>
      </c>
      <c r="H40" s="16" t="n">
        <f aca="false">AVERAGEIF('Echuca Games For'!$A$5:$A$25,H$5,'Echuca Games For'!AL$5:AL$25)</f>
        <v>9.5</v>
      </c>
      <c r="I40" s="16" t="n">
        <f aca="false">AVERAGEIF('Echuca Games For'!$A$5:$A$25,I$5,'Echuca Games For'!AL$5:AL$25)</f>
        <v>11.5</v>
      </c>
      <c r="J40" s="16" t="n">
        <f aca="false">AVERAGEIF('Echuca Games For'!$A$5:$A$25,J$5,'Echuca Games For'!AL$5:AL$25)</f>
        <v>9.5</v>
      </c>
      <c r="K40" s="16" t="n">
        <f aca="false">AVERAGEIF('Echuca Games For'!$A$5:$A$25,K$5,'Echuca Games For'!AL$5:AL$25)</f>
        <v>11</v>
      </c>
      <c r="L40" s="16" t="n">
        <f aca="false">AVERAGEIF('Echuca Games For'!$A$5:$A$25,L$5,'Echuca Games For'!AL$5:AL$25)</f>
        <v>17</v>
      </c>
      <c r="M40" s="16" t="n">
        <f aca="false">AVERAGEIF('Echuca Games For'!$A$5:$A$25,M$5,'Echuca Games For'!AL$5:AL$25)</f>
        <v>7.5</v>
      </c>
      <c r="N40" s="16" t="n">
        <f aca="false">AVERAGEIF('Echuca Games For'!$A$5:$A$25,N$5,'Echuca Games For'!AL$5:AL$25)</f>
        <v>11</v>
      </c>
      <c r="P40" s="16" t="n">
        <f aca="false">AVERAGEIF('Echuca Games Against'!$A$5:$A$25,D$5,'Echuca Games Against'!AL$5:AL$25)</f>
        <v>8.5</v>
      </c>
      <c r="Q40" s="16" t="n">
        <f aca="false">AVERAGEIF('Echuca Games Against'!$A$5:$A$25,E$5,'Echuca Games Against'!AL$5:AL$25)</f>
        <v>19</v>
      </c>
      <c r="R40" s="16" t="n">
        <f aca="false">AVERAGEIF('Echuca Games Against'!$A$5:$A$25,F$5,'Echuca Games Against'!AL$5:AL$25)</f>
        <v>8.33333333333333</v>
      </c>
      <c r="S40" s="16" t="n">
        <f aca="false">AVERAGEIF('Echuca Games Against'!$A$5:$A$25,G$5,'Echuca Games Against'!AL$5:AL$25)</f>
        <v>6</v>
      </c>
      <c r="T40" s="16" t="n">
        <f aca="false">AVERAGEIF('Echuca Games Against'!$A$5:$A$25,H$5,'Echuca Games Against'!AL$5:AL$25)</f>
        <v>11</v>
      </c>
      <c r="U40" s="16" t="n">
        <f aca="false">AVERAGEIF('Echuca Games Against'!$A$5:$A$25,I$5,'Echuca Games Against'!AL$5:AL$25)</f>
        <v>10</v>
      </c>
      <c r="V40" s="16" t="n">
        <f aca="false">AVERAGEIF('Echuca Games Against'!$A$5:$A$25,J$5,'Echuca Games Against'!AL$5:AL$25)</f>
        <v>6.5</v>
      </c>
      <c r="W40" s="16" t="n">
        <f aca="false">AVERAGEIF('Echuca Games Against'!$A$5:$A$25,K$5,'Echuca Games Against'!AL$5:AL$25)</f>
        <v>6.66666666666667</v>
      </c>
      <c r="X40" s="16" t="n">
        <f aca="false">AVERAGEIF('Echuca Games Against'!$A$5:$A$25,L$5,'Echuca Games Against'!AL$5:AL$25)</f>
        <v>13</v>
      </c>
      <c r="Y40" s="16" t="n">
        <f aca="false">AVERAGEIF('Echuca Games Against'!$A$5:$A$25,M$5,'Echuca Games Against'!AL$5:AL$25)</f>
        <v>9.5</v>
      </c>
      <c r="Z40" s="16" t="n">
        <f aca="false">AVERAGEIF('Echuca Games Against'!$A$5:$A$25,N$5,'Echuca Games Against'!AL$5:AL$25)</f>
        <v>11</v>
      </c>
      <c r="AB40" s="16" t="n">
        <f aca="false">D40-P40</f>
        <v>1.5</v>
      </c>
      <c r="AC40" s="16" t="n">
        <f aca="false">E40-Q40</f>
        <v>-8</v>
      </c>
      <c r="AD40" s="16" t="n">
        <f aca="false">F40-R40</f>
        <v>5.33333333333333</v>
      </c>
      <c r="AE40" s="16" t="n">
        <f aca="false">G40-S40</f>
        <v>0</v>
      </c>
      <c r="AF40" s="16" t="n">
        <f aca="false">H40-T40</f>
        <v>-1.5</v>
      </c>
      <c r="AG40" s="16" t="n">
        <f aca="false">I40-U40</f>
        <v>1.5</v>
      </c>
      <c r="AH40" s="16" t="n">
        <f aca="false">J40-V40</f>
        <v>3</v>
      </c>
      <c r="AI40" s="16" t="n">
        <f aca="false">K40-W40</f>
        <v>4.33333333333333</v>
      </c>
      <c r="AJ40" s="16" t="n">
        <f aca="false">L40-X40</f>
        <v>4</v>
      </c>
      <c r="AK40" s="16" t="n">
        <f aca="false">M40-Y40</f>
        <v>-2</v>
      </c>
      <c r="AL40" s="16" t="n">
        <f aca="false">N40-Z40</f>
        <v>0</v>
      </c>
    </row>
    <row r="41" customFormat="false" ht="15" hidden="false" customHeight="false" outlineLevel="0" collapsed="false">
      <c r="A41" s="6" t="s">
        <v>147</v>
      </c>
      <c r="B41" s="7" t="s">
        <v>148</v>
      </c>
      <c r="C41" s="38" t="s">
        <v>179</v>
      </c>
      <c r="D41" s="16" t="n">
        <f aca="false">AVERAGEIF('Echuca Games For'!$A$5:$A$25,D$5,'Echuca Games For'!AM$5:AM$25)</f>
        <v>8</v>
      </c>
      <c r="E41" s="16" t="n">
        <f aca="false">AVERAGEIF('Echuca Games For'!$A$5:$A$25,E$5,'Echuca Games For'!AM$5:AM$25)</f>
        <v>4</v>
      </c>
      <c r="F41" s="16" t="n">
        <f aca="false">AVERAGEIF('Echuca Games For'!$A$5:$A$25,F$5,'Echuca Games For'!AM$5:AM$25)</f>
        <v>5</v>
      </c>
      <c r="G41" s="16" t="n">
        <f aca="false">AVERAGEIF('Echuca Games For'!$A$5:$A$25,G$5,'Echuca Games For'!AM$5:AM$25)</f>
        <v>6</v>
      </c>
      <c r="H41" s="16" t="n">
        <f aca="false">AVERAGEIF('Echuca Games For'!$A$5:$A$25,H$5,'Echuca Games For'!AM$5:AM$25)</f>
        <v>6</v>
      </c>
      <c r="I41" s="16" t="n">
        <f aca="false">AVERAGEIF('Echuca Games For'!$A$5:$A$25,I$5,'Echuca Games For'!AM$5:AM$25)</f>
        <v>4.5</v>
      </c>
      <c r="J41" s="16" t="n">
        <f aca="false">AVERAGEIF('Echuca Games For'!$A$5:$A$25,J$5,'Echuca Games For'!AM$5:AM$25)</f>
        <v>7</v>
      </c>
      <c r="K41" s="16" t="n">
        <f aca="false">AVERAGEIF('Echuca Games For'!$A$5:$A$25,K$5,'Echuca Games For'!AM$5:AM$25)</f>
        <v>5.66666666666667</v>
      </c>
      <c r="L41" s="16" t="n">
        <f aca="false">AVERAGEIF('Echuca Games For'!$A$5:$A$25,L$5,'Echuca Games For'!AM$5:AM$25)</f>
        <v>9</v>
      </c>
      <c r="M41" s="16" t="n">
        <f aca="false">AVERAGEIF('Echuca Games For'!$A$5:$A$25,M$5,'Echuca Games For'!AM$5:AM$25)</f>
        <v>6.5</v>
      </c>
      <c r="N41" s="16" t="n">
        <f aca="false">AVERAGEIF('Echuca Games For'!$A$5:$A$25,N$5,'Echuca Games For'!AM$5:AM$25)</f>
        <v>5.5</v>
      </c>
      <c r="P41" s="16" t="n">
        <f aca="false">AVERAGEIF('Echuca Games Against'!$A$5:$A$25,D$5,'Echuca Games Against'!AM$5:AM$25)</f>
        <v>4.5</v>
      </c>
      <c r="Q41" s="16" t="n">
        <f aca="false">AVERAGEIF('Echuca Games Against'!$A$5:$A$25,E$5,'Echuca Games Against'!AM$5:AM$25)</f>
        <v>2</v>
      </c>
      <c r="R41" s="16" t="n">
        <f aca="false">AVERAGEIF('Echuca Games Against'!$A$5:$A$25,F$5,'Echuca Games Against'!AM$5:AM$25)</f>
        <v>4.33333333333333</v>
      </c>
      <c r="S41" s="16" t="n">
        <f aca="false">AVERAGEIF('Echuca Games Against'!$A$5:$A$25,G$5,'Echuca Games Against'!AM$5:AM$25)</f>
        <v>6</v>
      </c>
      <c r="T41" s="16" t="n">
        <f aca="false">AVERAGEIF('Echuca Games Against'!$A$5:$A$25,H$5,'Echuca Games Against'!AM$5:AM$25)</f>
        <v>4.5</v>
      </c>
      <c r="U41" s="16" t="n">
        <f aca="false">AVERAGEIF('Echuca Games Against'!$A$5:$A$25,I$5,'Echuca Games Against'!AM$5:AM$25)</f>
        <v>6.5</v>
      </c>
      <c r="V41" s="16" t="n">
        <f aca="false">AVERAGEIF('Echuca Games Against'!$A$5:$A$25,J$5,'Echuca Games Against'!AM$5:AM$25)</f>
        <v>4.5</v>
      </c>
      <c r="W41" s="16" t="n">
        <f aca="false">AVERAGEIF('Echuca Games Against'!$A$5:$A$25,K$5,'Echuca Games Against'!AM$5:AM$25)</f>
        <v>5.66666666666667</v>
      </c>
      <c r="X41" s="16" t="n">
        <f aca="false">AVERAGEIF('Echuca Games Against'!$A$5:$A$25,L$5,'Echuca Games Against'!AM$5:AM$25)</f>
        <v>3</v>
      </c>
      <c r="Y41" s="16" t="n">
        <f aca="false">AVERAGEIF('Echuca Games Against'!$A$5:$A$25,M$5,'Echuca Games Against'!AM$5:AM$25)</f>
        <v>3</v>
      </c>
      <c r="Z41" s="16" t="n">
        <f aca="false">AVERAGEIF('Echuca Games Against'!$A$5:$A$25,N$5,'Echuca Games Against'!AM$5:AM$25)</f>
        <v>2.5</v>
      </c>
      <c r="AB41" s="16" t="n">
        <f aca="false">D41-P41</f>
        <v>3.5</v>
      </c>
      <c r="AC41" s="16" t="n">
        <f aca="false">E41-Q41</f>
        <v>2</v>
      </c>
      <c r="AD41" s="16" t="n">
        <f aca="false">F41-R41</f>
        <v>0.666666666666667</v>
      </c>
      <c r="AE41" s="16" t="n">
        <f aca="false">G41-S41</f>
        <v>0</v>
      </c>
      <c r="AF41" s="16" t="n">
        <f aca="false">H41-T41</f>
        <v>1.5</v>
      </c>
      <c r="AG41" s="16" t="n">
        <f aca="false">I41-U41</f>
        <v>-2</v>
      </c>
      <c r="AH41" s="16" t="n">
        <f aca="false">J41-V41</f>
        <v>2.5</v>
      </c>
      <c r="AI41" s="16" t="n">
        <f aca="false">K41-W41</f>
        <v>0</v>
      </c>
      <c r="AJ41" s="16" t="n">
        <f aca="false">L41-X41</f>
        <v>6</v>
      </c>
      <c r="AK41" s="16" t="n">
        <f aca="false">M41-Y41</f>
        <v>3.5</v>
      </c>
      <c r="AL41" s="16" t="n">
        <f aca="false">N41-Z41</f>
        <v>3</v>
      </c>
    </row>
    <row r="42" customFormat="false" ht="15" hidden="false" customHeight="false" outlineLevel="0" collapsed="false">
      <c r="A42" s="6" t="s">
        <v>149</v>
      </c>
      <c r="B42" s="7" t="s">
        <v>150</v>
      </c>
      <c r="C42" s="38" t="s">
        <v>179</v>
      </c>
      <c r="D42" s="16" t="n">
        <f aca="false">AVERAGEIF('Echuca Games For'!$A$5:$A$25,D$5,'Echuca Games For'!AN$5:AN$25)</f>
        <v>18</v>
      </c>
      <c r="E42" s="16" t="n">
        <f aca="false">AVERAGEIF('Echuca Games For'!$A$5:$A$25,E$5,'Echuca Games For'!AN$5:AN$25)</f>
        <v>29</v>
      </c>
      <c r="F42" s="16" t="n">
        <f aca="false">AVERAGEIF('Echuca Games For'!$A$5:$A$25,F$5,'Echuca Games For'!AN$5:AN$25)</f>
        <v>18</v>
      </c>
      <c r="G42" s="16" t="n">
        <f aca="false">AVERAGEIF('Echuca Games For'!$A$5:$A$25,G$5,'Echuca Games For'!AN$5:AN$25)</f>
        <v>19</v>
      </c>
      <c r="H42" s="16" t="n">
        <f aca="false">AVERAGEIF('Echuca Games For'!$A$5:$A$25,H$5,'Echuca Games For'!AN$5:AN$25)</f>
        <v>8.5</v>
      </c>
      <c r="I42" s="16" t="n">
        <f aca="false">AVERAGEIF('Echuca Games For'!$A$5:$A$25,I$5,'Echuca Games For'!AN$5:AN$25)</f>
        <v>26.5</v>
      </c>
      <c r="J42" s="16" t="n">
        <f aca="false">AVERAGEIF('Echuca Games For'!$A$5:$A$25,J$5,'Echuca Games For'!AN$5:AN$25)</f>
        <v>24</v>
      </c>
      <c r="K42" s="16" t="n">
        <f aca="false">AVERAGEIF('Echuca Games For'!$A$5:$A$25,K$5,'Echuca Games For'!AN$5:AN$25)</f>
        <v>25</v>
      </c>
      <c r="L42" s="16" t="n">
        <f aca="false">AVERAGEIF('Echuca Games For'!$A$5:$A$25,L$5,'Echuca Games For'!AN$5:AN$25)</f>
        <v>10</v>
      </c>
      <c r="M42" s="16" t="n">
        <f aca="false">AVERAGEIF('Echuca Games For'!$A$5:$A$25,M$5,'Echuca Games For'!AN$5:AN$25)</f>
        <v>20</v>
      </c>
      <c r="N42" s="16" t="n">
        <f aca="false">AVERAGEIF('Echuca Games For'!$A$5:$A$25,N$5,'Echuca Games For'!AN$5:AN$25)</f>
        <v>13.5</v>
      </c>
      <c r="P42" s="16" t="n">
        <f aca="false">AVERAGEIF('Echuca Games Against'!$A$5:$A$25,D$5,'Echuca Games Against'!AN$5:AN$25)</f>
        <v>23</v>
      </c>
      <c r="Q42" s="16" t="n">
        <f aca="false">AVERAGEIF('Echuca Games Against'!$A$5:$A$25,E$5,'Echuca Games Against'!AN$5:AN$25)</f>
        <v>12</v>
      </c>
      <c r="R42" s="16" t="n">
        <f aca="false">AVERAGEIF('Echuca Games Against'!$A$5:$A$25,F$5,'Echuca Games Against'!AN$5:AN$25)</f>
        <v>16.3333333333333</v>
      </c>
      <c r="S42" s="16" t="n">
        <f aca="false">AVERAGEIF('Echuca Games Against'!$A$5:$A$25,G$5,'Echuca Games Against'!AN$5:AN$25)</f>
        <v>15</v>
      </c>
      <c r="T42" s="16" t="n">
        <f aca="false">AVERAGEIF('Echuca Games Against'!$A$5:$A$25,H$5,'Echuca Games Against'!AN$5:AN$25)</f>
        <v>18.5</v>
      </c>
      <c r="U42" s="16" t="n">
        <f aca="false">AVERAGEIF('Echuca Games Against'!$A$5:$A$25,I$5,'Echuca Games Against'!AN$5:AN$25)</f>
        <v>23</v>
      </c>
      <c r="V42" s="16" t="n">
        <f aca="false">AVERAGEIF('Echuca Games Against'!$A$5:$A$25,J$5,'Echuca Games Against'!AN$5:AN$25)</f>
        <v>14</v>
      </c>
      <c r="W42" s="16" t="n">
        <f aca="false">AVERAGEIF('Echuca Games Against'!$A$5:$A$25,K$5,'Echuca Games Against'!AN$5:AN$25)</f>
        <v>26.6666666666667</v>
      </c>
      <c r="X42" s="16" t="n">
        <f aca="false">AVERAGEIF('Echuca Games Against'!$A$5:$A$25,L$5,'Echuca Games Against'!AN$5:AN$25)</f>
        <v>16</v>
      </c>
      <c r="Y42" s="16" t="n">
        <f aca="false">AVERAGEIF('Echuca Games Against'!$A$5:$A$25,M$5,'Echuca Games Against'!AN$5:AN$25)</f>
        <v>19.5</v>
      </c>
      <c r="Z42" s="16" t="n">
        <f aca="false">AVERAGEIF('Echuca Games Against'!$A$5:$A$25,N$5,'Echuca Games Against'!AN$5:AN$25)</f>
        <v>15.5</v>
      </c>
      <c r="AB42" s="16" t="n">
        <f aca="false">D42-P42</f>
        <v>-5</v>
      </c>
      <c r="AC42" s="16" t="n">
        <f aca="false">E42-Q42</f>
        <v>17</v>
      </c>
      <c r="AD42" s="16" t="n">
        <f aca="false">F42-R42</f>
        <v>1.66666666666667</v>
      </c>
      <c r="AE42" s="16" t="n">
        <f aca="false">G42-S42</f>
        <v>4</v>
      </c>
      <c r="AF42" s="16" t="n">
        <f aca="false">H42-T42</f>
        <v>-10</v>
      </c>
      <c r="AG42" s="16" t="n">
        <f aca="false">I42-U42</f>
        <v>3.5</v>
      </c>
      <c r="AH42" s="16" t="n">
        <f aca="false">J42-V42</f>
        <v>10</v>
      </c>
      <c r="AI42" s="16" t="n">
        <f aca="false">K42-W42</f>
        <v>-1.66666666666667</v>
      </c>
      <c r="AJ42" s="16" t="n">
        <f aca="false">L42-X42</f>
        <v>-6</v>
      </c>
      <c r="AK42" s="16" t="n">
        <f aca="false">M42-Y42</f>
        <v>0.5</v>
      </c>
      <c r="AL42" s="16" t="n">
        <f aca="false">N42-Z42</f>
        <v>-2</v>
      </c>
    </row>
    <row r="43" customFormat="false" ht="15" hidden="false" customHeight="false" outlineLevel="0" collapsed="false">
      <c r="A43" s="6" t="s">
        <v>131</v>
      </c>
      <c r="B43" s="7" t="s">
        <v>132</v>
      </c>
      <c r="C43" s="38" t="s">
        <v>179</v>
      </c>
      <c r="D43" s="16" t="n">
        <f aca="false">AVERAGEIF('Echuca Games For'!$A$5:$A$25,D$5,'Echuca Games For'!AO$5:AO$25)</f>
        <v>11</v>
      </c>
      <c r="E43" s="16" t="n">
        <f aca="false">AVERAGEIF('Echuca Games For'!$A$5:$A$25,E$5,'Echuca Games For'!AO$5:AO$25)</f>
        <v>11</v>
      </c>
      <c r="F43" s="16" t="n">
        <f aca="false">AVERAGEIF('Echuca Games For'!$A$5:$A$25,F$5,'Echuca Games For'!AO$5:AO$25)</f>
        <v>9.33333333333333</v>
      </c>
      <c r="G43" s="16" t="n">
        <f aca="false">AVERAGEIF('Echuca Games For'!$A$5:$A$25,G$5,'Echuca Games For'!AO$5:AO$25)</f>
        <v>13</v>
      </c>
      <c r="H43" s="16" t="n">
        <f aca="false">AVERAGEIF('Echuca Games For'!$A$5:$A$25,H$5,'Echuca Games For'!AO$5:AO$25)</f>
        <v>14</v>
      </c>
      <c r="I43" s="16" t="n">
        <f aca="false">AVERAGEIF('Echuca Games For'!$A$5:$A$25,I$5,'Echuca Games For'!AO$5:AO$25)</f>
        <v>11</v>
      </c>
      <c r="J43" s="16" t="n">
        <f aca="false">AVERAGEIF('Echuca Games For'!$A$5:$A$25,J$5,'Echuca Games For'!AO$5:AO$25)</f>
        <v>9</v>
      </c>
      <c r="K43" s="16" t="n">
        <f aca="false">AVERAGEIF('Echuca Games For'!$A$5:$A$25,K$5,'Echuca Games For'!AO$5:AO$25)</f>
        <v>5</v>
      </c>
      <c r="L43" s="16" t="n">
        <f aca="false">AVERAGEIF('Echuca Games For'!$A$5:$A$25,L$5,'Echuca Games For'!AO$5:AO$25)</f>
        <v>9</v>
      </c>
      <c r="M43" s="16" t="n">
        <f aca="false">AVERAGEIF('Echuca Games For'!$A$5:$A$25,M$5,'Echuca Games For'!AO$5:AO$25)</f>
        <v>4.5</v>
      </c>
      <c r="N43" s="16" t="n">
        <f aca="false">AVERAGEIF('Echuca Games For'!$A$5:$A$25,N$5,'Echuca Games For'!AO$5:AO$25)</f>
        <v>11.5</v>
      </c>
      <c r="P43" s="16" t="n">
        <f aca="false">AVERAGEIF('Echuca Games Against'!$A$5:$A$25,D$5,'Echuca Games Against'!AO$5:AO$25)</f>
        <v>3.5</v>
      </c>
      <c r="Q43" s="16" t="n">
        <f aca="false">AVERAGEIF('Echuca Games Against'!$A$5:$A$25,E$5,'Echuca Games Against'!AO$5:AO$25)</f>
        <v>10</v>
      </c>
      <c r="R43" s="16" t="n">
        <f aca="false">AVERAGEIF('Echuca Games Against'!$A$5:$A$25,F$5,'Echuca Games Against'!AO$5:AO$25)</f>
        <v>6.33333333333333</v>
      </c>
      <c r="S43" s="16" t="n">
        <f aca="false">AVERAGEIF('Echuca Games Against'!$A$5:$A$25,G$5,'Echuca Games Against'!AO$5:AO$25)</f>
        <v>12</v>
      </c>
      <c r="T43" s="16" t="n">
        <f aca="false">AVERAGEIF('Echuca Games Against'!$A$5:$A$25,H$5,'Echuca Games Against'!AO$5:AO$25)</f>
        <v>7</v>
      </c>
      <c r="U43" s="16" t="n">
        <f aca="false">AVERAGEIF('Echuca Games Against'!$A$5:$A$25,I$5,'Echuca Games Against'!AO$5:AO$25)</f>
        <v>8.5</v>
      </c>
      <c r="V43" s="16" t="n">
        <f aca="false">AVERAGEIF('Echuca Games Against'!$A$5:$A$25,J$5,'Echuca Games Against'!AO$5:AO$25)</f>
        <v>6.5</v>
      </c>
      <c r="W43" s="16" t="n">
        <f aca="false">AVERAGEIF('Echuca Games Against'!$A$5:$A$25,K$5,'Echuca Games Against'!AO$5:AO$25)</f>
        <v>9.33333333333333</v>
      </c>
      <c r="X43" s="16" t="n">
        <f aca="false">AVERAGEIF('Echuca Games Against'!$A$5:$A$25,L$5,'Echuca Games Against'!AO$5:AO$25)</f>
        <v>12</v>
      </c>
      <c r="Y43" s="16" t="n">
        <f aca="false">AVERAGEIF('Echuca Games Against'!$A$5:$A$25,M$5,'Echuca Games Against'!AO$5:AO$25)</f>
        <v>2.5</v>
      </c>
      <c r="Z43" s="16" t="n">
        <f aca="false">AVERAGEIF('Echuca Games Against'!$A$5:$A$25,N$5,'Echuca Games Against'!AO$5:AO$25)</f>
        <v>4.5</v>
      </c>
      <c r="AB43" s="16" t="n">
        <f aca="false">D43-P43</f>
        <v>7.5</v>
      </c>
      <c r="AC43" s="16" t="n">
        <f aca="false">E43-Q43</f>
        <v>1</v>
      </c>
      <c r="AD43" s="16" t="n">
        <f aca="false">F43-R43</f>
        <v>3</v>
      </c>
      <c r="AE43" s="16" t="n">
        <f aca="false">G43-S43</f>
        <v>1</v>
      </c>
      <c r="AF43" s="16" t="n">
        <f aca="false">H43-T43</f>
        <v>7</v>
      </c>
      <c r="AG43" s="16" t="n">
        <f aca="false">I43-U43</f>
        <v>2.5</v>
      </c>
      <c r="AH43" s="16" t="n">
        <f aca="false">J43-V43</f>
        <v>2.5</v>
      </c>
      <c r="AI43" s="16" t="n">
        <f aca="false">K43-W43</f>
        <v>-4.33333333333333</v>
      </c>
      <c r="AJ43" s="16" t="n">
        <f aca="false">L43-X43</f>
        <v>-3</v>
      </c>
      <c r="AK43" s="16" t="n">
        <f aca="false">M43-Y43</f>
        <v>2</v>
      </c>
      <c r="AL43" s="16" t="n">
        <f aca="false">N43-Z43</f>
        <v>7</v>
      </c>
    </row>
    <row r="44" customFormat="false" ht="15" hidden="false" customHeight="false" outlineLevel="0" collapsed="false">
      <c r="A44" s="6" t="s">
        <v>151</v>
      </c>
      <c r="B44" s="7" t="s">
        <v>152</v>
      </c>
      <c r="C44" s="38" t="s">
        <v>179</v>
      </c>
      <c r="D44" s="16" t="n">
        <f aca="false">AVERAGEIF('Echuca Games For'!$A$5:$A$25,D$5,'Echuca Games For'!AP$5:AP$25)</f>
        <v>61</v>
      </c>
      <c r="E44" s="16" t="n">
        <f aca="false">AVERAGEIF('Echuca Games For'!$A$5:$A$25,E$5,'Echuca Games For'!AP$5:AP$25)</f>
        <v>61</v>
      </c>
      <c r="F44" s="16" t="n">
        <f aca="false">AVERAGEIF('Echuca Games For'!$A$5:$A$25,F$5,'Echuca Games For'!AP$5:AP$25)</f>
        <v>62.6666666666667</v>
      </c>
      <c r="G44" s="16" t="n">
        <f aca="false">AVERAGEIF('Echuca Games For'!$A$5:$A$25,G$5,'Echuca Games For'!AP$5:AP$25)</f>
        <v>68</v>
      </c>
      <c r="H44" s="16" t="n">
        <f aca="false">AVERAGEIF('Echuca Games For'!$A$5:$A$25,H$5,'Echuca Games For'!AP$5:AP$25)</f>
        <v>59.5</v>
      </c>
      <c r="I44" s="16" t="n">
        <f aca="false">AVERAGEIF('Echuca Games For'!$A$5:$A$25,I$5,'Echuca Games For'!AP$5:AP$25)</f>
        <v>91</v>
      </c>
      <c r="J44" s="16" t="n">
        <f aca="false">AVERAGEIF('Echuca Games For'!$A$5:$A$25,J$5,'Echuca Games For'!AP$5:AP$25)</f>
        <v>61</v>
      </c>
      <c r="K44" s="16" t="n">
        <f aca="false">AVERAGEIF('Echuca Games For'!$A$5:$A$25,K$5,'Echuca Games For'!AP$5:AP$25)</f>
        <v>66.6666666666667</v>
      </c>
      <c r="L44" s="16" t="n">
        <f aca="false">AVERAGEIF('Echuca Games For'!$A$5:$A$25,L$5,'Echuca Games For'!AP$5:AP$25)</f>
        <v>57</v>
      </c>
      <c r="M44" s="16" t="n">
        <f aca="false">AVERAGEIF('Echuca Games For'!$A$5:$A$25,M$5,'Echuca Games For'!AP$5:AP$25)</f>
        <v>70.5</v>
      </c>
      <c r="N44" s="16" t="n">
        <f aca="false">AVERAGEIF('Echuca Games For'!$A$5:$A$25,N$5,'Echuca Games For'!AP$5:AP$25)</f>
        <v>63.5</v>
      </c>
      <c r="P44" s="16" t="n">
        <f aca="false">AVERAGEIF('Echuca Games Against'!$A$5:$A$25,D$5,'Echuca Games Against'!AP$5:AP$25)</f>
        <v>44</v>
      </c>
      <c r="Q44" s="16" t="n">
        <f aca="false">AVERAGEIF('Echuca Games Against'!$A$5:$A$25,E$5,'Echuca Games Against'!AP$5:AP$25)</f>
        <v>49</v>
      </c>
      <c r="R44" s="16" t="n">
        <f aca="false">AVERAGEIF('Echuca Games Against'!$A$5:$A$25,F$5,'Echuca Games Against'!AP$5:AP$25)</f>
        <v>52.3333333333333</v>
      </c>
      <c r="S44" s="16" t="n">
        <f aca="false">AVERAGEIF('Echuca Games Against'!$A$5:$A$25,G$5,'Echuca Games Against'!AP$5:AP$25)</f>
        <v>77</v>
      </c>
      <c r="T44" s="16" t="n">
        <f aca="false">AVERAGEIF('Echuca Games Against'!$A$5:$A$25,H$5,'Echuca Games Against'!AP$5:AP$25)</f>
        <v>54.5</v>
      </c>
      <c r="U44" s="16" t="n">
        <f aca="false">AVERAGEIF('Echuca Games Against'!$A$5:$A$25,I$5,'Echuca Games Against'!AP$5:AP$25)</f>
        <v>69.5</v>
      </c>
      <c r="V44" s="16" t="n">
        <f aca="false">AVERAGEIF('Echuca Games Against'!$A$5:$A$25,J$5,'Echuca Games Against'!AP$5:AP$25)</f>
        <v>54</v>
      </c>
      <c r="W44" s="16" t="n">
        <f aca="false">AVERAGEIF('Echuca Games Against'!$A$5:$A$25,K$5,'Echuca Games Against'!AP$5:AP$25)</f>
        <v>61.6666666666667</v>
      </c>
      <c r="X44" s="16" t="n">
        <f aca="false">AVERAGEIF('Echuca Games Against'!$A$5:$A$25,L$5,'Echuca Games Against'!AP$5:AP$25)</f>
        <v>55</v>
      </c>
      <c r="Y44" s="16" t="n">
        <f aca="false">AVERAGEIF('Echuca Games Against'!$A$5:$A$25,M$5,'Echuca Games Against'!AP$5:AP$25)</f>
        <v>59</v>
      </c>
      <c r="Z44" s="16" t="n">
        <f aca="false">AVERAGEIF('Echuca Games Against'!$A$5:$A$25,N$5,'Echuca Games Against'!AP$5:AP$25)</f>
        <v>52</v>
      </c>
      <c r="AB44" s="16" t="n">
        <f aca="false">D44-P44</f>
        <v>17</v>
      </c>
      <c r="AC44" s="16" t="n">
        <f aca="false">E44-Q44</f>
        <v>12</v>
      </c>
      <c r="AD44" s="16" t="n">
        <f aca="false">F44-R44</f>
        <v>10.3333333333333</v>
      </c>
      <c r="AE44" s="16" t="n">
        <f aca="false">G44-S44</f>
        <v>-9</v>
      </c>
      <c r="AF44" s="16" t="n">
        <f aca="false">H44-T44</f>
        <v>5</v>
      </c>
      <c r="AG44" s="16" t="n">
        <f aca="false">I44-U44</f>
        <v>21.5</v>
      </c>
      <c r="AH44" s="16" t="n">
        <f aca="false">J44-V44</f>
        <v>7</v>
      </c>
      <c r="AI44" s="16" t="n">
        <f aca="false">K44-W44</f>
        <v>5.00000000000001</v>
      </c>
      <c r="AJ44" s="16" t="n">
        <f aca="false">L44-X44</f>
        <v>2</v>
      </c>
      <c r="AK44" s="16" t="n">
        <f aca="false">M44-Y44</f>
        <v>11.5</v>
      </c>
      <c r="AL44" s="16" t="n">
        <f aca="false">N44-Z44</f>
        <v>11.5</v>
      </c>
    </row>
    <row r="45" customFormat="false" ht="15" hidden="false" customHeight="false" outlineLevel="0" collapsed="false">
      <c r="A45" s="6" t="s">
        <v>153</v>
      </c>
      <c r="B45" s="7" t="s">
        <v>154</v>
      </c>
      <c r="C45" s="38" t="s">
        <v>179</v>
      </c>
      <c r="D45" s="16" t="n">
        <f aca="false">AVERAGEIF('Echuca Games For'!$A$5:$A$25,D$5,'Echuca Games For'!AQ$5:AQ$25)</f>
        <v>46</v>
      </c>
      <c r="E45" s="16" t="n">
        <f aca="false">AVERAGEIF('Echuca Games For'!$A$5:$A$25,E$5,'Echuca Games For'!AQ$5:AQ$25)</f>
        <v>51</v>
      </c>
      <c r="F45" s="16" t="n">
        <f aca="false">AVERAGEIF('Echuca Games For'!$A$5:$A$25,F$5,'Echuca Games For'!AQ$5:AQ$25)</f>
        <v>50.3333333333333</v>
      </c>
      <c r="G45" s="16" t="n">
        <f aca="false">AVERAGEIF('Echuca Games For'!$A$5:$A$25,G$5,'Echuca Games For'!AQ$5:AQ$25)</f>
        <v>59</v>
      </c>
      <c r="H45" s="16" t="n">
        <f aca="false">AVERAGEIF('Echuca Games For'!$A$5:$A$25,H$5,'Echuca Games For'!AQ$5:AQ$25)</f>
        <v>45.5</v>
      </c>
      <c r="I45" s="16" t="n">
        <f aca="false">AVERAGEIF('Echuca Games For'!$A$5:$A$25,I$5,'Echuca Games For'!AQ$5:AQ$25)</f>
        <v>63.5</v>
      </c>
      <c r="J45" s="16" t="n">
        <f aca="false">AVERAGEIF('Echuca Games For'!$A$5:$A$25,J$5,'Echuca Games For'!AQ$5:AQ$25)</f>
        <v>45</v>
      </c>
      <c r="K45" s="16" t="n">
        <f aca="false">AVERAGEIF('Echuca Games For'!$A$5:$A$25,K$5,'Echuca Games For'!AQ$5:AQ$25)</f>
        <v>51.6666666666667</v>
      </c>
      <c r="L45" s="16" t="n">
        <f aca="false">AVERAGEIF('Echuca Games For'!$A$5:$A$25,L$5,'Echuca Games For'!AQ$5:AQ$25)</f>
        <v>45</v>
      </c>
      <c r="M45" s="16" t="n">
        <f aca="false">AVERAGEIF('Echuca Games For'!$A$5:$A$25,M$5,'Echuca Games For'!AQ$5:AQ$25)</f>
        <v>52.5</v>
      </c>
      <c r="N45" s="16" t="n">
        <f aca="false">AVERAGEIF('Echuca Games For'!$A$5:$A$25,N$5,'Echuca Games For'!AQ$5:AQ$25)</f>
        <v>54</v>
      </c>
      <c r="P45" s="16" t="n">
        <f aca="false">AVERAGEIF('Echuca Games Against'!$A$5:$A$25,D$5,'Echuca Games Against'!AQ$5:AQ$25)</f>
        <v>32.5</v>
      </c>
      <c r="Q45" s="16" t="n">
        <f aca="false">AVERAGEIF('Echuca Games Against'!$A$5:$A$25,E$5,'Echuca Games Against'!AQ$5:AQ$25)</f>
        <v>32</v>
      </c>
      <c r="R45" s="16" t="n">
        <f aca="false">AVERAGEIF('Echuca Games Against'!$A$5:$A$25,F$5,'Echuca Games Against'!AQ$5:AQ$25)</f>
        <v>36.6666666666667</v>
      </c>
      <c r="S45" s="16" t="n">
        <f aca="false">AVERAGEIF('Echuca Games Against'!$A$5:$A$25,G$5,'Echuca Games Against'!AQ$5:AQ$25)</f>
        <v>64</v>
      </c>
      <c r="T45" s="16" t="n">
        <f aca="false">AVERAGEIF('Echuca Games Against'!$A$5:$A$25,H$5,'Echuca Games Against'!AQ$5:AQ$25)</f>
        <v>39.5</v>
      </c>
      <c r="U45" s="16" t="n">
        <f aca="false">AVERAGEIF('Echuca Games Against'!$A$5:$A$25,I$5,'Echuca Games Against'!AQ$5:AQ$25)</f>
        <v>55</v>
      </c>
      <c r="V45" s="16" t="n">
        <f aca="false">AVERAGEIF('Echuca Games Against'!$A$5:$A$25,J$5,'Echuca Games Against'!AQ$5:AQ$25)</f>
        <v>41.5</v>
      </c>
      <c r="W45" s="16" t="n">
        <f aca="false">AVERAGEIF('Echuca Games Against'!$A$5:$A$25,K$5,'Echuca Games Against'!AQ$5:AQ$25)</f>
        <v>49</v>
      </c>
      <c r="X45" s="16" t="n">
        <f aca="false">AVERAGEIF('Echuca Games Against'!$A$5:$A$25,L$5,'Echuca Games Against'!AQ$5:AQ$25)</f>
        <v>37</v>
      </c>
      <c r="Y45" s="16" t="n">
        <f aca="false">AVERAGEIF('Echuca Games Against'!$A$5:$A$25,M$5,'Echuca Games Against'!AQ$5:AQ$25)</f>
        <v>41</v>
      </c>
      <c r="Z45" s="16" t="n">
        <f aca="false">AVERAGEIF('Echuca Games Against'!$A$5:$A$25,N$5,'Echuca Games Against'!AQ$5:AQ$25)</f>
        <v>36.5</v>
      </c>
      <c r="AB45" s="16" t="n">
        <f aca="false">D45-P45</f>
        <v>13.5</v>
      </c>
      <c r="AC45" s="16" t="n">
        <f aca="false">E45-Q45</f>
        <v>19</v>
      </c>
      <c r="AD45" s="16" t="n">
        <f aca="false">F45-R45</f>
        <v>13.6666666666667</v>
      </c>
      <c r="AE45" s="16" t="n">
        <f aca="false">G45-S45</f>
        <v>-5</v>
      </c>
      <c r="AF45" s="16" t="n">
        <f aca="false">H45-T45</f>
        <v>6</v>
      </c>
      <c r="AG45" s="16" t="n">
        <f aca="false">I45-U45</f>
        <v>8.5</v>
      </c>
      <c r="AH45" s="16" t="n">
        <f aca="false">J45-V45</f>
        <v>3.5</v>
      </c>
      <c r="AI45" s="16" t="n">
        <f aca="false">K45-W45</f>
        <v>2.66666666666666</v>
      </c>
      <c r="AJ45" s="16" t="n">
        <f aca="false">L45-X45</f>
        <v>8</v>
      </c>
      <c r="AK45" s="16" t="n">
        <f aca="false">M45-Y45</f>
        <v>11.5</v>
      </c>
      <c r="AL45" s="16" t="n">
        <f aca="false">N45-Z45</f>
        <v>17.5</v>
      </c>
    </row>
    <row r="46" customFormat="false" ht="15" hidden="false" customHeight="false" outlineLevel="0" collapsed="false">
      <c r="A46" s="6" t="s">
        <v>69</v>
      </c>
      <c r="B46" s="7" t="s">
        <v>70</v>
      </c>
      <c r="C46" s="38" t="s">
        <v>179</v>
      </c>
      <c r="D46" s="16" t="n">
        <f aca="false">AVERAGEIF('Echuca Games For'!$A$5:$A$25,D$5,'Echuca Games For'!AR$5:AR$25)</f>
        <v>10</v>
      </c>
      <c r="E46" s="16" t="n">
        <f aca="false">AVERAGEIF('Echuca Games For'!$A$5:$A$25,E$5,'Echuca Games For'!AR$5:AR$25)</f>
        <v>13</v>
      </c>
      <c r="F46" s="16" t="n">
        <f aca="false">AVERAGEIF('Echuca Games For'!$A$5:$A$25,F$5,'Echuca Games For'!AR$5:AR$25)</f>
        <v>10.3333333333333</v>
      </c>
      <c r="G46" s="16" t="n">
        <f aca="false">AVERAGEIF('Echuca Games For'!$A$5:$A$25,G$5,'Echuca Games For'!AR$5:AR$25)</f>
        <v>13</v>
      </c>
      <c r="H46" s="16" t="n">
        <f aca="false">AVERAGEIF('Echuca Games For'!$A$5:$A$25,H$5,'Echuca Games For'!AR$5:AR$25)</f>
        <v>9</v>
      </c>
      <c r="I46" s="16" t="n">
        <f aca="false">AVERAGEIF('Echuca Games For'!$A$5:$A$25,I$5,'Echuca Games For'!AR$5:AR$25)</f>
        <v>15.5</v>
      </c>
      <c r="J46" s="16" t="n">
        <f aca="false">AVERAGEIF('Echuca Games For'!$A$5:$A$25,J$5,'Echuca Games For'!AR$5:AR$25)</f>
        <v>11</v>
      </c>
      <c r="K46" s="16" t="n">
        <f aca="false">AVERAGEIF('Echuca Games For'!$A$5:$A$25,K$5,'Echuca Games For'!AR$5:AR$25)</f>
        <v>11</v>
      </c>
      <c r="L46" s="16" t="n">
        <f aca="false">AVERAGEIF('Echuca Games For'!$A$5:$A$25,L$5,'Echuca Games For'!AR$5:AR$25)</f>
        <v>10</v>
      </c>
      <c r="M46" s="16" t="n">
        <f aca="false">AVERAGEIF('Echuca Games For'!$A$5:$A$25,M$5,'Echuca Games For'!AR$5:AR$25)</f>
        <v>12</v>
      </c>
      <c r="N46" s="16" t="n">
        <f aca="false">AVERAGEIF('Echuca Games For'!$A$5:$A$25,N$5,'Echuca Games For'!AR$5:AR$25)</f>
        <v>13.5</v>
      </c>
      <c r="P46" s="16" t="n">
        <f aca="false">AVERAGEIF('Echuca Games Against'!$A$5:$A$25,D$5,'Echuca Games Against'!AR$5:AR$25)</f>
        <v>4</v>
      </c>
      <c r="Q46" s="16" t="n">
        <f aca="false">AVERAGEIF('Echuca Games Against'!$A$5:$A$25,E$5,'Echuca Games Against'!AR$5:AR$25)</f>
        <v>4</v>
      </c>
      <c r="R46" s="16" t="n">
        <f aca="false">AVERAGEIF('Echuca Games Against'!$A$5:$A$25,F$5,'Echuca Games Against'!AR$5:AR$25)</f>
        <v>7</v>
      </c>
      <c r="S46" s="16" t="n">
        <f aca="false">AVERAGEIF('Echuca Games Against'!$A$5:$A$25,G$5,'Echuca Games Against'!AR$5:AR$25)</f>
        <v>16</v>
      </c>
      <c r="T46" s="16" t="n">
        <f aca="false">AVERAGEIF('Echuca Games Against'!$A$5:$A$25,H$5,'Echuca Games Against'!AR$5:AR$25)</f>
        <v>6</v>
      </c>
      <c r="U46" s="16" t="n">
        <f aca="false">AVERAGEIF('Echuca Games Against'!$A$5:$A$25,I$5,'Echuca Games Against'!AR$5:AR$25)</f>
        <v>11</v>
      </c>
      <c r="V46" s="16" t="n">
        <f aca="false">AVERAGEIF('Echuca Games Against'!$A$5:$A$25,J$5,'Echuca Games Against'!AR$5:AR$25)</f>
        <v>10.5</v>
      </c>
      <c r="W46" s="16" t="n">
        <f aca="false">AVERAGEIF('Echuca Games Against'!$A$5:$A$25,K$5,'Echuca Games Against'!AR$5:AR$25)</f>
        <v>12.3333333333333</v>
      </c>
      <c r="X46" s="16" t="n">
        <f aca="false">AVERAGEIF('Echuca Games Against'!$A$5:$A$25,L$5,'Echuca Games Against'!AR$5:AR$25)</f>
        <v>10</v>
      </c>
      <c r="Y46" s="16" t="n">
        <f aca="false">AVERAGEIF('Echuca Games Against'!$A$5:$A$25,M$5,'Echuca Games Against'!AR$5:AR$25)</f>
        <v>4</v>
      </c>
      <c r="Z46" s="16" t="n">
        <f aca="false">AVERAGEIF('Echuca Games Against'!$A$5:$A$25,N$5,'Echuca Games Against'!AR$5:AR$25)</f>
        <v>4</v>
      </c>
      <c r="AB46" s="16" t="n">
        <f aca="false">D46-P46</f>
        <v>6</v>
      </c>
      <c r="AC46" s="16" t="n">
        <f aca="false">E46-Q46</f>
        <v>9</v>
      </c>
      <c r="AD46" s="16" t="n">
        <f aca="false">F46-R46</f>
        <v>3.33333333333333</v>
      </c>
      <c r="AE46" s="16" t="n">
        <f aca="false">G46-S46</f>
        <v>-3</v>
      </c>
      <c r="AF46" s="16" t="n">
        <f aca="false">H46-T46</f>
        <v>3</v>
      </c>
      <c r="AG46" s="16" t="n">
        <f aca="false">I46-U46</f>
        <v>4.5</v>
      </c>
      <c r="AH46" s="16" t="n">
        <f aca="false">J46-V46</f>
        <v>0.5</v>
      </c>
      <c r="AI46" s="16" t="n">
        <f aca="false">K46-W46</f>
        <v>-1.33333333333333</v>
      </c>
      <c r="AJ46" s="16" t="n">
        <f aca="false">L46-X46</f>
        <v>0</v>
      </c>
      <c r="AK46" s="16" t="n">
        <f aca="false">M46-Y46</f>
        <v>8</v>
      </c>
      <c r="AL46" s="16" t="n">
        <f aca="false">N46-Z46</f>
        <v>9.5</v>
      </c>
    </row>
    <row r="47" customFormat="false" ht="15" hidden="false" customHeight="false" outlineLevel="0" collapsed="false">
      <c r="A47" s="6" t="s">
        <v>123</v>
      </c>
      <c r="B47" s="7" t="s">
        <v>124</v>
      </c>
      <c r="C47" s="38" t="s">
        <v>179</v>
      </c>
      <c r="D47" s="16" t="n">
        <f aca="false">AVERAGEIF('Echuca Games For'!$A$5:$A$25,D$5,'Echuca Games For'!AS$5:AS$25)</f>
        <v>45</v>
      </c>
      <c r="E47" s="16" t="n">
        <f aca="false">AVERAGEIF('Echuca Games For'!$A$5:$A$25,E$5,'Echuca Games For'!AS$5:AS$25)</f>
        <v>41</v>
      </c>
      <c r="F47" s="16" t="n">
        <f aca="false">AVERAGEIF('Echuca Games For'!$A$5:$A$25,F$5,'Echuca Games For'!AS$5:AS$25)</f>
        <v>42.6666666666667</v>
      </c>
      <c r="G47" s="16" t="n">
        <f aca="false">AVERAGEIF('Echuca Games For'!$A$5:$A$25,G$5,'Echuca Games For'!AS$5:AS$25)</f>
        <v>41</v>
      </c>
      <c r="H47" s="16" t="n">
        <f aca="false">AVERAGEIF('Echuca Games For'!$A$5:$A$25,H$5,'Echuca Games For'!AS$5:AS$25)</f>
        <v>37.5</v>
      </c>
      <c r="I47" s="16" t="n">
        <f aca="false">AVERAGEIF('Echuca Games For'!$A$5:$A$25,I$5,'Echuca Games For'!AS$5:AS$25)</f>
        <v>57.5</v>
      </c>
      <c r="J47" s="16" t="n">
        <f aca="false">AVERAGEIF('Echuca Games For'!$A$5:$A$25,J$5,'Echuca Games For'!AS$5:AS$25)</f>
        <v>38</v>
      </c>
      <c r="K47" s="16" t="n">
        <f aca="false">AVERAGEIF('Echuca Games For'!$A$5:$A$25,K$5,'Echuca Games For'!AS$5:AS$25)</f>
        <v>42</v>
      </c>
      <c r="L47" s="16" t="n">
        <f aca="false">AVERAGEIF('Echuca Games For'!$A$5:$A$25,L$5,'Echuca Games For'!AS$5:AS$25)</f>
        <v>43</v>
      </c>
      <c r="M47" s="16" t="n">
        <f aca="false">AVERAGEIF('Echuca Games For'!$A$5:$A$25,M$5,'Echuca Games For'!AS$5:AS$25)</f>
        <v>46.5</v>
      </c>
      <c r="N47" s="16" t="n">
        <f aca="false">AVERAGEIF('Echuca Games For'!$A$5:$A$25,N$5,'Echuca Games For'!AS$5:AS$25)</f>
        <v>36.5</v>
      </c>
      <c r="P47" s="16" t="n">
        <f aca="false">AVERAGEIF('Echuca Games Against'!$A$5:$A$25,D$5,'Echuca Games Against'!AS$5:AS$25)</f>
        <v>31</v>
      </c>
      <c r="Q47" s="16" t="n">
        <f aca="false">AVERAGEIF('Echuca Games Against'!$A$5:$A$25,E$5,'Echuca Games Against'!AS$5:AS$25)</f>
        <v>31</v>
      </c>
      <c r="R47" s="16" t="n">
        <f aca="false">AVERAGEIF('Echuca Games Against'!$A$5:$A$25,F$5,'Echuca Games Against'!AS$5:AS$25)</f>
        <v>37</v>
      </c>
      <c r="S47" s="16" t="n">
        <f aca="false">AVERAGEIF('Echuca Games Against'!$A$5:$A$25,G$5,'Echuca Games Against'!AS$5:AS$25)</f>
        <v>42</v>
      </c>
      <c r="T47" s="16" t="n">
        <f aca="false">AVERAGEIF('Echuca Games Against'!$A$5:$A$25,H$5,'Echuca Games Against'!AS$5:AS$25)</f>
        <v>32.5</v>
      </c>
      <c r="U47" s="16" t="n">
        <f aca="false">AVERAGEIF('Echuca Games Against'!$A$5:$A$25,I$5,'Echuca Games Against'!AS$5:AS$25)</f>
        <v>42.5</v>
      </c>
      <c r="V47" s="16" t="n">
        <f aca="false">AVERAGEIF('Echuca Games Against'!$A$5:$A$25,J$5,'Echuca Games Against'!AS$5:AS$25)</f>
        <v>33</v>
      </c>
      <c r="W47" s="16" t="n">
        <f aca="false">AVERAGEIF('Echuca Games Against'!$A$5:$A$25,K$5,'Echuca Games Against'!AS$5:AS$25)</f>
        <v>37.6666666666667</v>
      </c>
      <c r="X47" s="16" t="n">
        <f aca="false">AVERAGEIF('Echuca Games Against'!$A$5:$A$25,L$5,'Echuca Games Against'!AS$5:AS$25)</f>
        <v>37</v>
      </c>
      <c r="Y47" s="16" t="n">
        <f aca="false">AVERAGEIF('Echuca Games Against'!$A$5:$A$25,M$5,'Echuca Games Against'!AS$5:AS$25)</f>
        <v>35.5</v>
      </c>
      <c r="Z47" s="16" t="n">
        <f aca="false">AVERAGEIF('Echuca Games Against'!$A$5:$A$25,N$5,'Echuca Games Against'!AS$5:AS$25)</f>
        <v>29</v>
      </c>
      <c r="AB47" s="16" t="n">
        <f aca="false">D47-P47</f>
        <v>14</v>
      </c>
      <c r="AC47" s="16" t="n">
        <f aca="false">E47-Q47</f>
        <v>10</v>
      </c>
      <c r="AD47" s="16" t="n">
        <f aca="false">F47-R47</f>
        <v>5.66666666666666</v>
      </c>
      <c r="AE47" s="16" t="n">
        <f aca="false">G47-S47</f>
        <v>-1</v>
      </c>
      <c r="AF47" s="16" t="n">
        <f aca="false">H47-T47</f>
        <v>5</v>
      </c>
      <c r="AG47" s="16" t="n">
        <f aca="false">I47-U47</f>
        <v>15</v>
      </c>
      <c r="AH47" s="16" t="n">
        <f aca="false">J47-V47</f>
        <v>5</v>
      </c>
      <c r="AI47" s="16" t="n">
        <f aca="false">K47-W47</f>
        <v>4.33333333333334</v>
      </c>
      <c r="AJ47" s="16" t="n">
        <f aca="false">L47-X47</f>
        <v>6</v>
      </c>
      <c r="AK47" s="16" t="n">
        <f aca="false">M47-Y47</f>
        <v>11</v>
      </c>
      <c r="AL47" s="16" t="n">
        <f aca="false">N47-Z47</f>
        <v>7.5</v>
      </c>
    </row>
    <row r="48" customFormat="false" ht="15" hidden="false" customHeight="false" outlineLevel="0" collapsed="false">
      <c r="A48" s="6" t="s">
        <v>37</v>
      </c>
      <c r="B48" s="7" t="s">
        <v>38</v>
      </c>
      <c r="C48" s="38" t="s">
        <v>179</v>
      </c>
      <c r="D48" s="16" t="n">
        <f aca="false">AVERAGEIF('Echuca Games For'!$A$5:$A$25,D$5,'Echuca Games For'!AT$5:AT$25)</f>
        <v>6</v>
      </c>
      <c r="E48" s="16" t="n">
        <f aca="false">AVERAGEIF('Echuca Games For'!$A$5:$A$25,E$5,'Echuca Games For'!AT$5:AT$25)</f>
        <v>7</v>
      </c>
      <c r="F48" s="16" t="n">
        <f aca="false">AVERAGEIF('Echuca Games For'!$A$5:$A$25,F$5,'Echuca Games For'!AT$5:AT$25)</f>
        <v>9.66666666666667</v>
      </c>
      <c r="G48" s="16" t="n">
        <f aca="false">AVERAGEIF('Echuca Games For'!$A$5:$A$25,G$5,'Echuca Games For'!AT$5:AT$25)</f>
        <v>14</v>
      </c>
      <c r="H48" s="16" t="n">
        <f aca="false">AVERAGEIF('Echuca Games For'!$A$5:$A$25,H$5,'Echuca Games For'!AT$5:AT$25)</f>
        <v>13</v>
      </c>
      <c r="I48" s="16" t="n">
        <f aca="false">AVERAGEIF('Echuca Games For'!$A$5:$A$25,I$5,'Echuca Games For'!AT$5:AT$25)</f>
        <v>18</v>
      </c>
      <c r="J48" s="16" t="n">
        <f aca="false">AVERAGEIF('Echuca Games For'!$A$5:$A$25,J$5,'Echuca Games For'!AT$5:AT$25)</f>
        <v>12</v>
      </c>
      <c r="K48" s="16" t="n">
        <f aca="false">AVERAGEIF('Echuca Games For'!$A$5:$A$25,K$5,'Echuca Games For'!AT$5:AT$25)</f>
        <v>13.6666666666667</v>
      </c>
      <c r="L48" s="16" t="n">
        <f aca="false">AVERAGEIF('Echuca Games For'!$A$5:$A$25,L$5,'Echuca Games For'!AT$5:AT$25)</f>
        <v>4</v>
      </c>
      <c r="M48" s="16" t="n">
        <f aca="false">AVERAGEIF('Echuca Games For'!$A$5:$A$25,M$5,'Echuca Games For'!AT$5:AT$25)</f>
        <v>12</v>
      </c>
      <c r="N48" s="16" t="n">
        <f aca="false">AVERAGEIF('Echuca Games For'!$A$5:$A$25,N$5,'Echuca Games For'!AT$5:AT$25)</f>
        <v>13.5</v>
      </c>
      <c r="P48" s="16" t="n">
        <f aca="false">AVERAGEIF('Echuca Games Against'!$A$5:$A$25,D$5,'Echuca Games Against'!AT$5:AT$25)</f>
        <v>9</v>
      </c>
      <c r="Q48" s="16" t="n">
        <f aca="false">AVERAGEIF('Echuca Games Against'!$A$5:$A$25,E$5,'Echuca Games Against'!AT$5:AT$25)</f>
        <v>14</v>
      </c>
      <c r="R48" s="16" t="n">
        <f aca="false">AVERAGEIF('Echuca Games Against'!$A$5:$A$25,F$5,'Echuca Games Against'!AT$5:AT$25)</f>
        <v>8.33333333333333</v>
      </c>
      <c r="S48" s="16" t="n">
        <f aca="false">AVERAGEIF('Echuca Games Against'!$A$5:$A$25,G$5,'Echuca Games Against'!AT$5:AT$25)</f>
        <v>19</v>
      </c>
      <c r="T48" s="16" t="n">
        <f aca="false">AVERAGEIF('Echuca Games Against'!$A$5:$A$25,H$5,'Echuca Games Against'!AT$5:AT$25)</f>
        <v>16</v>
      </c>
      <c r="U48" s="16" t="n">
        <f aca="false">AVERAGEIF('Echuca Games Against'!$A$5:$A$25,I$5,'Echuca Games Against'!AT$5:AT$25)</f>
        <v>16</v>
      </c>
      <c r="V48" s="16" t="n">
        <f aca="false">AVERAGEIF('Echuca Games Against'!$A$5:$A$25,J$5,'Echuca Games Against'!AT$5:AT$25)</f>
        <v>10.5</v>
      </c>
      <c r="W48" s="16" t="n">
        <f aca="false">AVERAGEIF('Echuca Games Against'!$A$5:$A$25,K$5,'Echuca Games Against'!AT$5:AT$25)</f>
        <v>11.6666666666667</v>
      </c>
      <c r="X48" s="16" t="n">
        <f aca="false">AVERAGEIF('Echuca Games Against'!$A$5:$A$25,L$5,'Echuca Games Against'!AT$5:AT$25)</f>
        <v>8</v>
      </c>
      <c r="Y48" s="16" t="n">
        <f aca="false">AVERAGEIF('Echuca Games Against'!$A$5:$A$25,M$5,'Echuca Games Against'!AT$5:AT$25)</f>
        <v>19.5</v>
      </c>
      <c r="Z48" s="16" t="n">
        <f aca="false">AVERAGEIF('Echuca Games Against'!$A$5:$A$25,N$5,'Echuca Games Against'!AT$5:AT$25)</f>
        <v>19</v>
      </c>
      <c r="AB48" s="16" t="n">
        <f aca="false">D48-P48</f>
        <v>-3</v>
      </c>
      <c r="AC48" s="16" t="n">
        <f aca="false">E48-Q48</f>
        <v>-7</v>
      </c>
      <c r="AD48" s="16" t="n">
        <f aca="false">F48-R48</f>
        <v>1.33333333333333</v>
      </c>
      <c r="AE48" s="16" t="n">
        <f aca="false">G48-S48</f>
        <v>-5</v>
      </c>
      <c r="AF48" s="16" t="n">
        <f aca="false">H48-T48</f>
        <v>-3</v>
      </c>
      <c r="AG48" s="16" t="n">
        <f aca="false">I48-U48</f>
        <v>2</v>
      </c>
      <c r="AH48" s="16" t="n">
        <f aca="false">J48-V48</f>
        <v>1.5</v>
      </c>
      <c r="AI48" s="16" t="n">
        <f aca="false">K48-W48</f>
        <v>2</v>
      </c>
      <c r="AJ48" s="16" t="n">
        <f aca="false">L48-X48</f>
        <v>-4</v>
      </c>
      <c r="AK48" s="16" t="n">
        <f aca="false">M48-Y48</f>
        <v>-7.5</v>
      </c>
      <c r="AL48" s="16" t="n">
        <f aca="false">N48-Z48</f>
        <v>-5.5</v>
      </c>
    </row>
    <row r="49" customFormat="false" ht="15" hidden="false" customHeight="false" outlineLevel="0" collapsed="false">
      <c r="A49" s="6" t="s">
        <v>73</v>
      </c>
      <c r="B49" s="7" t="s">
        <v>74</v>
      </c>
      <c r="C49" s="38" t="s">
        <v>179</v>
      </c>
      <c r="D49" s="16" t="n">
        <f aca="false">AVERAGEIF('Echuca Games For'!$A$5:$A$25,D$5,'Echuca Games For'!AU$5:AU$25)</f>
        <v>10.5</v>
      </c>
      <c r="E49" s="16" t="n">
        <f aca="false">AVERAGEIF('Echuca Games For'!$A$5:$A$25,E$5,'Echuca Games For'!AU$5:AU$25)</f>
        <v>18</v>
      </c>
      <c r="F49" s="16" t="n">
        <f aca="false">AVERAGEIF('Echuca Games For'!$A$5:$A$25,F$5,'Echuca Games For'!AU$5:AU$25)</f>
        <v>14</v>
      </c>
      <c r="G49" s="16" t="n">
        <f aca="false">AVERAGEIF('Echuca Games For'!$A$5:$A$25,G$5,'Echuca Games For'!AU$5:AU$25)</f>
        <v>10</v>
      </c>
      <c r="H49" s="16" t="n">
        <f aca="false">AVERAGEIF('Echuca Games For'!$A$5:$A$25,H$5,'Echuca Games For'!AU$5:AU$25)</f>
        <v>12.5</v>
      </c>
      <c r="I49" s="16" t="n">
        <f aca="false">AVERAGEIF('Echuca Games For'!$A$5:$A$25,I$5,'Echuca Games For'!AU$5:AU$25)</f>
        <v>11.5</v>
      </c>
      <c r="J49" s="16" t="n">
        <f aca="false">AVERAGEIF('Echuca Games For'!$A$5:$A$25,J$5,'Echuca Games For'!AU$5:AU$25)</f>
        <v>10</v>
      </c>
      <c r="K49" s="16" t="n">
        <f aca="false">AVERAGEIF('Echuca Games For'!$A$5:$A$25,K$5,'Echuca Games For'!AU$5:AU$25)</f>
        <v>16</v>
      </c>
      <c r="L49" s="16" t="n">
        <f aca="false">AVERAGEIF('Echuca Games For'!$A$5:$A$25,L$5,'Echuca Games For'!AU$5:AU$25)</f>
        <v>19</v>
      </c>
      <c r="M49" s="16" t="n">
        <f aca="false">AVERAGEIF('Echuca Games For'!$A$5:$A$25,M$5,'Echuca Games For'!AU$5:AU$25)</f>
        <v>21</v>
      </c>
      <c r="N49" s="16" t="n">
        <f aca="false">AVERAGEIF('Echuca Games For'!$A$5:$A$25,N$5,'Echuca Games For'!AU$5:AU$25)</f>
        <v>21</v>
      </c>
      <c r="P49" s="16" t="n">
        <f aca="false">AVERAGEIF('Echuca Games Against'!$A$5:$A$25,D$5,'Echuca Games Against'!AU$5:AU$25)</f>
        <v>7.5</v>
      </c>
      <c r="Q49" s="16" t="n">
        <f aca="false">AVERAGEIF('Echuca Games Against'!$A$5:$A$25,E$5,'Echuca Games Against'!AU$5:AU$25)</f>
        <v>6</v>
      </c>
      <c r="R49" s="16" t="n">
        <f aca="false">AVERAGEIF('Echuca Games Against'!$A$5:$A$25,F$5,'Echuca Games Against'!AU$5:AU$25)</f>
        <v>11</v>
      </c>
      <c r="S49" s="16" t="n">
        <f aca="false">AVERAGEIF('Echuca Games Against'!$A$5:$A$25,G$5,'Echuca Games Against'!AU$5:AU$25)</f>
        <v>8</v>
      </c>
      <c r="T49" s="16" t="n">
        <f aca="false">AVERAGEIF('Echuca Games Against'!$A$5:$A$25,H$5,'Echuca Games Against'!AU$5:AU$25)</f>
        <v>7</v>
      </c>
      <c r="U49" s="16" t="n">
        <f aca="false">AVERAGEIF('Echuca Games Against'!$A$5:$A$25,I$5,'Echuca Games Against'!AU$5:AU$25)</f>
        <v>6.5</v>
      </c>
      <c r="V49" s="16" t="n">
        <f aca="false">AVERAGEIF('Echuca Games Against'!$A$5:$A$25,J$5,'Echuca Games Against'!AU$5:AU$25)</f>
        <v>12.5</v>
      </c>
      <c r="W49" s="16" t="n">
        <f aca="false">AVERAGEIF('Echuca Games Against'!$A$5:$A$25,K$5,'Echuca Games Against'!AU$5:AU$25)</f>
        <v>9.66666666666667</v>
      </c>
      <c r="X49" s="16" t="n">
        <f aca="false">AVERAGEIF('Echuca Games Against'!$A$5:$A$25,L$5,'Echuca Games Against'!AU$5:AU$25)</f>
        <v>7</v>
      </c>
      <c r="Y49" s="16" t="n">
        <f aca="false">AVERAGEIF('Echuca Games Against'!$A$5:$A$25,M$5,'Echuca Games Against'!AU$5:AU$25)</f>
        <v>9</v>
      </c>
      <c r="Z49" s="16" t="n">
        <f aca="false">AVERAGEIF('Echuca Games Against'!$A$5:$A$25,N$5,'Echuca Games Against'!AU$5:AU$25)</f>
        <v>4</v>
      </c>
      <c r="AB49" s="16" t="n">
        <f aca="false">D49-P49</f>
        <v>3</v>
      </c>
      <c r="AC49" s="16" t="n">
        <f aca="false">E49-Q49</f>
        <v>12</v>
      </c>
      <c r="AD49" s="16" t="n">
        <f aca="false">F49-R49</f>
        <v>3</v>
      </c>
      <c r="AE49" s="16" t="n">
        <f aca="false">G49-S49</f>
        <v>2</v>
      </c>
      <c r="AF49" s="16" t="n">
        <f aca="false">H49-T49</f>
        <v>5.5</v>
      </c>
      <c r="AG49" s="16" t="n">
        <f aca="false">I49-U49</f>
        <v>5</v>
      </c>
      <c r="AH49" s="16" t="n">
        <f aca="false">J49-V49</f>
        <v>-2.5</v>
      </c>
      <c r="AI49" s="16" t="n">
        <f aca="false">K49-W49</f>
        <v>6.33333333333333</v>
      </c>
      <c r="AJ49" s="16" t="n">
        <f aca="false">L49-X49</f>
        <v>12</v>
      </c>
      <c r="AK49" s="16" t="n">
        <f aca="false">M49-Y49</f>
        <v>12</v>
      </c>
      <c r="AL49" s="16" t="n">
        <f aca="false">N49-Z49</f>
        <v>17</v>
      </c>
    </row>
    <row r="50" customFormat="false" ht="15" hidden="false" customHeight="false" outlineLevel="0" collapsed="false">
      <c r="A50" s="6" t="s">
        <v>33</v>
      </c>
      <c r="B50" s="7" t="s">
        <v>34</v>
      </c>
      <c r="C50" s="38" t="s">
        <v>181</v>
      </c>
      <c r="D50" s="16" t="n">
        <f aca="false">AVERAGEIF('Echuca Games For'!$A$5:$A$25,D$5,'Echuca Games For'!AV$5:AV$25)</f>
        <v>12</v>
      </c>
      <c r="E50" s="16" t="n">
        <f aca="false">AVERAGEIF('Echuca Games For'!$A$5:$A$25,E$5,'Echuca Games For'!AV$5:AV$25)</f>
        <v>17</v>
      </c>
      <c r="F50" s="16" t="n">
        <f aca="false">AVERAGEIF('Echuca Games For'!$A$5:$A$25,F$5,'Echuca Games For'!AV$5:AV$25)</f>
        <v>10.3333333333333</v>
      </c>
      <c r="G50" s="16" t="n">
        <f aca="false">AVERAGEIF('Echuca Games For'!$A$5:$A$25,G$5,'Echuca Games For'!AV$5:AV$25)</f>
        <v>19</v>
      </c>
      <c r="H50" s="16" t="n">
        <f aca="false">AVERAGEIF('Echuca Games For'!$A$5:$A$25,H$5,'Echuca Games For'!AV$5:AV$25)</f>
        <v>16</v>
      </c>
      <c r="I50" s="16" t="n">
        <f aca="false">AVERAGEIF('Echuca Games For'!$A$5:$A$25,I$5,'Echuca Games For'!AV$5:AV$25)</f>
        <v>8.5</v>
      </c>
      <c r="J50" s="16" t="n">
        <f aca="false">AVERAGEIF('Echuca Games For'!$A$5:$A$25,J$5,'Echuca Games For'!AV$5:AV$25)</f>
        <v>11.5</v>
      </c>
      <c r="K50" s="16" t="n">
        <f aca="false">AVERAGEIF('Echuca Games For'!$A$5:$A$25,K$5,'Echuca Games For'!AV$5:AV$25)</f>
        <v>10</v>
      </c>
      <c r="L50" s="16" t="n">
        <f aca="false">AVERAGEIF('Echuca Games For'!$A$5:$A$25,L$5,'Echuca Games For'!AV$5:AV$25)</f>
        <v>9</v>
      </c>
      <c r="M50" s="16" t="n">
        <f aca="false">AVERAGEIF('Echuca Games For'!$A$5:$A$25,M$5,'Echuca Games For'!AV$5:AV$25)</f>
        <v>6</v>
      </c>
      <c r="N50" s="16" t="n">
        <f aca="false">AVERAGEIF('Echuca Games For'!$A$5:$A$25,N$5,'Echuca Games For'!AV$5:AV$25)</f>
        <v>15.5</v>
      </c>
      <c r="P50" s="16" t="n">
        <f aca="false">AVERAGEIF('Echuca Games Against'!$A$5:$A$25,D$5,'Echuca Games Against'!AV$5:AV$25)</f>
        <v>5</v>
      </c>
      <c r="Q50" s="16" t="n">
        <f aca="false">AVERAGEIF('Echuca Games Against'!$A$5:$A$25,E$5,'Echuca Games Against'!AV$5:AV$25)</f>
        <v>1</v>
      </c>
      <c r="R50" s="16" t="n">
        <f aca="false">AVERAGEIF('Echuca Games Against'!$A$5:$A$25,F$5,'Echuca Games Against'!AV$5:AV$25)</f>
        <v>6.66666666666667</v>
      </c>
      <c r="S50" s="16" t="n">
        <f aca="false">AVERAGEIF('Echuca Games Against'!$A$5:$A$25,G$5,'Echuca Games Against'!AV$5:AV$25)</f>
        <v>9</v>
      </c>
      <c r="T50" s="16" t="n">
        <f aca="false">AVERAGEIF('Echuca Games Against'!$A$5:$A$25,H$5,'Echuca Games Against'!AV$5:AV$25)</f>
        <v>9.5</v>
      </c>
      <c r="U50" s="16" t="n">
        <f aca="false">AVERAGEIF('Echuca Games Against'!$A$5:$A$25,I$5,'Echuca Games Against'!AV$5:AV$25)</f>
        <v>9.5</v>
      </c>
      <c r="V50" s="16" t="n">
        <f aca="false">AVERAGEIF('Echuca Games Against'!$A$5:$A$25,J$5,'Echuca Games Against'!AV$5:AV$25)</f>
        <v>8</v>
      </c>
      <c r="W50" s="16" t="n">
        <f aca="false">AVERAGEIF('Echuca Games Against'!$A$5:$A$25,K$5,'Echuca Games Against'!AV$5:AV$25)</f>
        <v>6</v>
      </c>
      <c r="X50" s="16" t="n">
        <f aca="false">AVERAGEIF('Echuca Games Against'!$A$5:$A$25,L$5,'Echuca Games Against'!AV$5:AV$25)</f>
        <v>7</v>
      </c>
      <c r="Y50" s="16" t="n">
        <f aca="false">AVERAGEIF('Echuca Games Against'!$A$5:$A$25,M$5,'Echuca Games Against'!AV$5:AV$25)</f>
        <v>7.5</v>
      </c>
      <c r="Z50" s="16" t="n">
        <f aca="false">AVERAGEIF('Echuca Games Against'!$A$5:$A$25,N$5,'Echuca Games Against'!AV$5:AV$25)</f>
        <v>2</v>
      </c>
      <c r="AB50" s="16" t="n">
        <f aca="false">D50-P50</f>
        <v>7</v>
      </c>
      <c r="AC50" s="16" t="n">
        <f aca="false">E50-Q50</f>
        <v>16</v>
      </c>
      <c r="AD50" s="16" t="n">
        <f aca="false">F50-R50</f>
        <v>3.66666666666667</v>
      </c>
      <c r="AE50" s="16" t="n">
        <f aca="false">G50-S50</f>
        <v>10</v>
      </c>
      <c r="AF50" s="16" t="n">
        <f aca="false">H50-T50</f>
        <v>6.5</v>
      </c>
      <c r="AG50" s="16" t="n">
        <f aca="false">I50-U50</f>
        <v>-1</v>
      </c>
      <c r="AH50" s="16" t="n">
        <f aca="false">J50-V50</f>
        <v>3.5</v>
      </c>
      <c r="AI50" s="16" t="n">
        <f aca="false">K50-W50</f>
        <v>4</v>
      </c>
      <c r="AJ50" s="16" t="n">
        <f aca="false">L50-X50</f>
        <v>2</v>
      </c>
      <c r="AK50" s="16" t="n">
        <f aca="false">M50-Y50</f>
        <v>-1.5</v>
      </c>
      <c r="AL50" s="16" t="n">
        <f aca="false">N50-Z50</f>
        <v>13.5</v>
      </c>
    </row>
    <row r="51" customFormat="false" ht="15" hidden="false" customHeight="false" outlineLevel="0" collapsed="false">
      <c r="A51" s="6" t="s">
        <v>137</v>
      </c>
      <c r="B51" s="7" t="s">
        <v>138</v>
      </c>
      <c r="C51" s="38" t="s">
        <v>180</v>
      </c>
      <c r="D51" s="16" t="n">
        <f aca="false">AVERAGEIF('Echuca Games For'!$A$5:$A$25,D$5,'Echuca Games For'!AW$5:AW$25)</f>
        <v>1</v>
      </c>
      <c r="E51" s="16" t="n">
        <f aca="false">AVERAGEIF('Echuca Games For'!$A$5:$A$25,E$5,'Echuca Games For'!AW$5:AW$25)</f>
        <v>0</v>
      </c>
      <c r="F51" s="16" t="n">
        <f aca="false">AVERAGEIF('Echuca Games For'!$A$5:$A$25,F$5,'Echuca Games For'!AW$5:AW$25)</f>
        <v>0.333333333333333</v>
      </c>
      <c r="G51" s="16" t="n">
        <f aca="false">AVERAGEIF('Echuca Games For'!$A$5:$A$25,G$5,'Echuca Games For'!AW$5:AW$25)</f>
        <v>1</v>
      </c>
      <c r="H51" s="16" t="n">
        <f aca="false">AVERAGEIF('Echuca Games For'!$A$5:$A$25,H$5,'Echuca Games For'!AW$5:AW$25)</f>
        <v>1</v>
      </c>
      <c r="I51" s="16" t="n">
        <f aca="false">AVERAGEIF('Echuca Games For'!$A$5:$A$25,I$5,'Echuca Games For'!AW$5:AW$25)</f>
        <v>3.5</v>
      </c>
      <c r="J51" s="16" t="n">
        <f aca="false">AVERAGEIF('Echuca Games For'!$A$5:$A$25,J$5,'Echuca Games For'!AW$5:AW$25)</f>
        <v>0</v>
      </c>
      <c r="K51" s="16" t="n">
        <f aca="false">AVERAGEIF('Echuca Games For'!$A$5:$A$25,K$5,'Echuca Games For'!AW$5:AW$25)</f>
        <v>2</v>
      </c>
      <c r="L51" s="16" t="n">
        <f aca="false">AVERAGEIF('Echuca Games For'!$A$5:$A$25,L$5,'Echuca Games For'!AW$5:AW$25)</f>
        <v>1</v>
      </c>
      <c r="M51" s="16" t="n">
        <f aca="false">AVERAGEIF('Echuca Games For'!$A$5:$A$25,M$5,'Echuca Games For'!AW$5:AW$25)</f>
        <v>2</v>
      </c>
      <c r="N51" s="16" t="n">
        <f aca="false">AVERAGEIF('Echuca Games For'!$A$5:$A$25,N$5,'Echuca Games For'!AW$5:AW$25)</f>
        <v>2</v>
      </c>
      <c r="P51" s="16" t="n">
        <f aca="false">AVERAGEIF('Echuca Games Against'!$A$5:$A$25,D$5,'Echuca Games Against'!AW$5:AW$25)</f>
        <v>2</v>
      </c>
      <c r="Q51" s="16" t="n">
        <f aca="false">AVERAGEIF('Echuca Games Against'!$A$5:$A$25,E$5,'Echuca Games Against'!AW$5:AW$25)</f>
        <v>3</v>
      </c>
      <c r="R51" s="16" t="n">
        <f aca="false">AVERAGEIF('Echuca Games Against'!$A$5:$A$25,F$5,'Echuca Games Against'!AW$5:AW$25)</f>
        <v>3</v>
      </c>
      <c r="S51" s="16" t="n">
        <f aca="false">AVERAGEIF('Echuca Games Against'!$A$5:$A$25,G$5,'Echuca Games Against'!AW$5:AW$25)</f>
        <v>1</v>
      </c>
      <c r="T51" s="16" t="n">
        <f aca="false">AVERAGEIF('Echuca Games Against'!$A$5:$A$25,H$5,'Echuca Games Against'!AW$5:AW$25)</f>
        <v>1</v>
      </c>
      <c r="U51" s="16" t="n">
        <f aca="false">AVERAGEIF('Echuca Games Against'!$A$5:$A$25,I$5,'Echuca Games Against'!AW$5:AW$25)</f>
        <v>3.5</v>
      </c>
      <c r="V51" s="16" t="n">
        <f aca="false">AVERAGEIF('Echuca Games Against'!$A$5:$A$25,J$5,'Echuca Games Against'!AW$5:AW$25)</f>
        <v>4</v>
      </c>
      <c r="W51" s="16" t="n">
        <f aca="false">AVERAGEIF('Echuca Games Against'!$A$5:$A$25,K$5,'Echuca Games Against'!AW$5:AW$25)</f>
        <v>3.66666666666667</v>
      </c>
      <c r="X51" s="16" t="n">
        <f aca="false">AVERAGEIF('Echuca Games Against'!$A$5:$A$25,L$5,'Echuca Games Against'!AW$5:AW$25)</f>
        <v>1</v>
      </c>
      <c r="Y51" s="16" t="n">
        <f aca="false">AVERAGEIF('Echuca Games Against'!$A$5:$A$25,M$5,'Echuca Games Against'!AW$5:AW$25)</f>
        <v>4</v>
      </c>
      <c r="Z51" s="16" t="n">
        <f aca="false">AVERAGEIF('Echuca Games Against'!$A$5:$A$25,N$5,'Echuca Games Against'!AW$5:AW$25)</f>
        <v>1</v>
      </c>
      <c r="AB51" s="16" t="n">
        <f aca="false">D51-P51</f>
        <v>-1</v>
      </c>
      <c r="AC51" s="16" t="n">
        <f aca="false">E51-Q51</f>
        <v>-3</v>
      </c>
      <c r="AD51" s="16" t="n">
        <f aca="false">F51-R51</f>
        <v>-2.66666666666667</v>
      </c>
      <c r="AE51" s="16" t="n">
        <f aca="false">G51-S51</f>
        <v>0</v>
      </c>
      <c r="AF51" s="16" t="n">
        <f aca="false">H51-T51</f>
        <v>0</v>
      </c>
      <c r="AG51" s="16" t="n">
        <f aca="false">I51-U51</f>
        <v>0</v>
      </c>
      <c r="AH51" s="16" t="n">
        <f aca="false">J51-V51</f>
        <v>-4</v>
      </c>
      <c r="AI51" s="16" t="n">
        <f aca="false">K51-W51</f>
        <v>-1.66666666666667</v>
      </c>
      <c r="AJ51" s="16" t="n">
        <f aca="false">L51-X51</f>
        <v>0</v>
      </c>
      <c r="AK51" s="16" t="n">
        <f aca="false">M51-Y51</f>
        <v>-2</v>
      </c>
      <c r="AL51" s="16" t="n">
        <f aca="false">N51-Z51</f>
        <v>1</v>
      </c>
    </row>
    <row r="52" customFormat="false" ht="15" hidden="false" customHeight="false" outlineLevel="0" collapsed="false">
      <c r="A52" s="6" t="s">
        <v>141</v>
      </c>
      <c r="B52" s="7" t="s">
        <v>142</v>
      </c>
      <c r="C52" s="38" t="s">
        <v>179</v>
      </c>
      <c r="D52" s="16" t="n">
        <f aca="false">AVERAGEIF('Echuca Games For'!$A$5:$A$25,D$5,'Echuca Games For'!AX$5:AX$25)</f>
        <v>41.5</v>
      </c>
      <c r="E52" s="16" t="n">
        <f aca="false">AVERAGEIF('Echuca Games For'!$A$5:$A$25,E$5,'Echuca Games For'!AX$5:AX$25)</f>
        <v>50</v>
      </c>
      <c r="F52" s="16" t="n">
        <f aca="false">AVERAGEIF('Echuca Games For'!$A$5:$A$25,F$5,'Echuca Games For'!AX$5:AX$25)</f>
        <v>48</v>
      </c>
      <c r="G52" s="16" t="n">
        <f aca="false">AVERAGEIF('Echuca Games For'!$A$5:$A$25,G$5,'Echuca Games For'!AX$5:AX$25)</f>
        <v>56</v>
      </c>
      <c r="H52" s="16" t="n">
        <f aca="false">AVERAGEIF('Echuca Games For'!$A$5:$A$25,H$5,'Echuca Games For'!AX$5:AX$25)</f>
        <v>48.5</v>
      </c>
      <c r="I52" s="16" t="n">
        <f aca="false">AVERAGEIF('Echuca Games For'!$A$5:$A$25,I$5,'Echuca Games For'!AX$5:AX$25)</f>
        <v>44.5</v>
      </c>
      <c r="J52" s="16" t="n">
        <f aca="false">AVERAGEIF('Echuca Games For'!$A$5:$A$25,J$5,'Echuca Games For'!AX$5:AX$25)</f>
        <v>41.5</v>
      </c>
      <c r="K52" s="16" t="n">
        <f aca="false">AVERAGEIF('Echuca Games For'!$A$5:$A$25,K$5,'Echuca Games For'!AX$5:AX$25)</f>
        <v>53</v>
      </c>
      <c r="L52" s="16" t="n">
        <f aca="false">AVERAGEIF('Echuca Games For'!$A$5:$A$25,L$5,'Echuca Games For'!AX$5:AX$25)</f>
        <v>50</v>
      </c>
      <c r="M52" s="16" t="n">
        <f aca="false">AVERAGEIF('Echuca Games For'!$A$5:$A$25,M$5,'Echuca Games For'!AX$5:AX$25)</f>
        <v>55</v>
      </c>
      <c r="N52" s="16" t="n">
        <f aca="false">AVERAGEIF('Echuca Games For'!$A$5:$A$25,N$5,'Echuca Games For'!AX$5:AX$25)</f>
        <v>57</v>
      </c>
      <c r="P52" s="16" t="n">
        <f aca="false">AVERAGEIF('Echuca Games Against'!$A$5:$A$25,D$5,'Echuca Games Against'!AX$5:AX$25)</f>
        <v>42.5</v>
      </c>
      <c r="Q52" s="16" t="n">
        <f aca="false">AVERAGEIF('Echuca Games Against'!$A$5:$A$25,E$5,'Echuca Games Against'!AX$5:AX$25)</f>
        <v>29</v>
      </c>
      <c r="R52" s="16" t="n">
        <f aca="false">AVERAGEIF('Echuca Games Against'!$A$5:$A$25,F$5,'Echuca Games Against'!AX$5:AX$25)</f>
        <v>42.6666666666667</v>
      </c>
      <c r="S52" s="16" t="n">
        <f aca="false">AVERAGEIF('Echuca Games Against'!$A$5:$A$25,G$5,'Echuca Games Against'!AX$5:AX$25)</f>
        <v>35</v>
      </c>
      <c r="T52" s="16" t="n">
        <f aca="false">AVERAGEIF('Echuca Games Against'!$A$5:$A$25,H$5,'Echuca Games Against'!AX$5:AX$25)</f>
        <v>48</v>
      </c>
      <c r="U52" s="16" t="n">
        <f aca="false">AVERAGEIF('Echuca Games Against'!$A$5:$A$25,I$5,'Echuca Games Against'!AX$5:AX$25)</f>
        <v>38.5</v>
      </c>
      <c r="V52" s="16" t="n">
        <f aca="false">AVERAGEIF('Echuca Games Against'!$A$5:$A$25,J$5,'Echuca Games Against'!AX$5:AX$25)</f>
        <v>48.5</v>
      </c>
      <c r="W52" s="16" t="n">
        <f aca="false">AVERAGEIF('Echuca Games Against'!$A$5:$A$25,K$5,'Echuca Games Against'!AX$5:AX$25)</f>
        <v>41</v>
      </c>
      <c r="X52" s="16" t="n">
        <f aca="false">AVERAGEIF('Echuca Games Against'!$A$5:$A$25,L$5,'Echuca Games Against'!AX$5:AX$25)</f>
        <v>45</v>
      </c>
      <c r="Y52" s="16" t="n">
        <f aca="false">AVERAGEIF('Echuca Games Against'!$A$5:$A$25,M$5,'Echuca Games Against'!AX$5:AX$25)</f>
        <v>51</v>
      </c>
      <c r="Z52" s="16" t="n">
        <f aca="false">AVERAGEIF('Echuca Games Against'!$A$5:$A$25,N$5,'Echuca Games Against'!AX$5:AX$25)</f>
        <v>29.5</v>
      </c>
      <c r="AB52" s="16" t="n">
        <f aca="false">D52-P52</f>
        <v>-1</v>
      </c>
      <c r="AC52" s="16" t="n">
        <f aca="false">E52-Q52</f>
        <v>21</v>
      </c>
      <c r="AD52" s="16" t="n">
        <f aca="false">F52-R52</f>
        <v>5.33333333333334</v>
      </c>
      <c r="AE52" s="16" t="n">
        <f aca="false">G52-S52</f>
        <v>21</v>
      </c>
      <c r="AF52" s="16" t="n">
        <f aca="false">H52-T52</f>
        <v>0.5</v>
      </c>
      <c r="AG52" s="16" t="n">
        <f aca="false">I52-U52</f>
        <v>6</v>
      </c>
      <c r="AH52" s="16" t="n">
        <f aca="false">J52-V52</f>
        <v>-7</v>
      </c>
      <c r="AI52" s="16" t="n">
        <f aca="false">K52-W52</f>
        <v>12</v>
      </c>
      <c r="AJ52" s="16" t="n">
        <f aca="false">L52-X52</f>
        <v>5</v>
      </c>
      <c r="AK52" s="16" t="n">
        <f aca="false">M52-Y52</f>
        <v>4</v>
      </c>
      <c r="AL52" s="16" t="n">
        <f aca="false">N52-Z52</f>
        <v>27.5</v>
      </c>
    </row>
    <row r="53" customFormat="false" ht="15" hidden="false" customHeight="false" outlineLevel="0" collapsed="false">
      <c r="A53" s="6" t="s">
        <v>145</v>
      </c>
      <c r="B53" s="7" t="s">
        <v>146</v>
      </c>
      <c r="C53" s="38" t="s">
        <v>179</v>
      </c>
      <c r="D53" s="16" t="n">
        <f aca="false">AVERAGEIF('Echuca Games For'!$A$5:$A$25,D$5,'Echuca Games For'!AY$5:AY$25)</f>
        <v>23.5</v>
      </c>
      <c r="E53" s="16" t="n">
        <f aca="false">AVERAGEIF('Echuca Games For'!$A$5:$A$25,E$5,'Echuca Games For'!AY$5:AY$25)</f>
        <v>35</v>
      </c>
      <c r="F53" s="16" t="n">
        <f aca="false">AVERAGEIF('Echuca Games For'!$A$5:$A$25,F$5,'Echuca Games For'!AY$5:AY$25)</f>
        <v>24.6666666666667</v>
      </c>
      <c r="G53" s="16" t="n">
        <f aca="false">AVERAGEIF('Echuca Games For'!$A$5:$A$25,G$5,'Echuca Games For'!AY$5:AY$25)</f>
        <v>30</v>
      </c>
      <c r="H53" s="16" t="n">
        <f aca="false">AVERAGEIF('Echuca Games For'!$A$5:$A$25,H$5,'Echuca Games For'!AY$5:AY$25)</f>
        <v>29.5</v>
      </c>
      <c r="I53" s="16" t="n">
        <f aca="false">AVERAGEIF('Echuca Games For'!$A$5:$A$25,I$5,'Echuca Games For'!AY$5:AY$25)</f>
        <v>23.5</v>
      </c>
      <c r="J53" s="16" t="n">
        <f aca="false">AVERAGEIF('Echuca Games For'!$A$5:$A$25,J$5,'Echuca Games For'!AY$5:AY$25)</f>
        <v>21.5</v>
      </c>
      <c r="K53" s="16" t="n">
        <f aca="false">AVERAGEIF('Echuca Games For'!$A$5:$A$25,K$5,'Echuca Games For'!AY$5:AY$25)</f>
        <v>28</v>
      </c>
      <c r="L53" s="16" t="n">
        <f aca="false">AVERAGEIF('Echuca Games For'!$A$5:$A$25,L$5,'Echuca Games For'!AY$5:AY$25)</f>
        <v>29</v>
      </c>
      <c r="M53" s="16" t="n">
        <f aca="false">AVERAGEIF('Echuca Games For'!$A$5:$A$25,M$5,'Echuca Games For'!AY$5:AY$25)</f>
        <v>29</v>
      </c>
      <c r="N53" s="16" t="n">
        <f aca="false">AVERAGEIF('Echuca Games For'!$A$5:$A$25,N$5,'Echuca Games For'!AY$5:AY$25)</f>
        <v>38.5</v>
      </c>
      <c r="P53" s="16" t="n">
        <f aca="false">AVERAGEIF('Echuca Games Against'!$A$5:$A$25,D$5,'Echuca Games Against'!AY$5:AY$25)</f>
        <v>14.5</v>
      </c>
      <c r="Q53" s="16" t="n">
        <f aca="false">AVERAGEIF('Echuca Games Against'!$A$5:$A$25,E$5,'Echuca Games Against'!AY$5:AY$25)</f>
        <v>10</v>
      </c>
      <c r="R53" s="16" t="n">
        <f aca="false">AVERAGEIF('Echuca Games Against'!$A$5:$A$25,F$5,'Echuca Games Against'!AY$5:AY$25)</f>
        <v>20.6666666666667</v>
      </c>
      <c r="S53" s="16" t="n">
        <f aca="false">AVERAGEIF('Echuca Games Against'!$A$5:$A$25,G$5,'Echuca Games Against'!AY$5:AY$25)</f>
        <v>18</v>
      </c>
      <c r="T53" s="16" t="n">
        <f aca="false">AVERAGEIF('Echuca Games Against'!$A$5:$A$25,H$5,'Echuca Games Against'!AY$5:AY$25)</f>
        <v>17.5</v>
      </c>
      <c r="U53" s="16" t="n">
        <f aca="false">AVERAGEIF('Echuca Games Against'!$A$5:$A$25,I$5,'Echuca Games Against'!AY$5:AY$25)</f>
        <v>19.5</v>
      </c>
      <c r="V53" s="16" t="n">
        <f aca="false">AVERAGEIF('Echuca Games Against'!$A$5:$A$25,J$5,'Echuca Games Against'!AY$5:AY$25)</f>
        <v>24.5</v>
      </c>
      <c r="W53" s="16" t="n">
        <f aca="false">AVERAGEIF('Echuca Games Against'!$A$5:$A$25,K$5,'Echuca Games Against'!AY$5:AY$25)</f>
        <v>19.3333333333333</v>
      </c>
      <c r="X53" s="16" t="n">
        <f aca="false">AVERAGEIF('Echuca Games Against'!$A$5:$A$25,L$5,'Echuca Games Against'!AY$5:AY$25)</f>
        <v>15</v>
      </c>
      <c r="Y53" s="16" t="n">
        <f aca="false">AVERAGEIF('Echuca Games Against'!$A$5:$A$25,M$5,'Echuca Games Against'!AY$5:AY$25)</f>
        <v>20.5</v>
      </c>
      <c r="Z53" s="16" t="n">
        <f aca="false">AVERAGEIF('Echuca Games Against'!$A$5:$A$25,N$5,'Echuca Games Against'!AY$5:AY$25)</f>
        <v>7</v>
      </c>
      <c r="AB53" s="16" t="n">
        <f aca="false">D53-P53</f>
        <v>9</v>
      </c>
      <c r="AC53" s="16" t="n">
        <f aca="false">E53-Q53</f>
        <v>25</v>
      </c>
      <c r="AD53" s="16" t="n">
        <f aca="false">F53-R53</f>
        <v>4</v>
      </c>
      <c r="AE53" s="16" t="n">
        <f aca="false">G53-S53</f>
        <v>12</v>
      </c>
      <c r="AF53" s="16" t="n">
        <f aca="false">H53-T53</f>
        <v>12</v>
      </c>
      <c r="AG53" s="16" t="n">
        <f aca="false">I53-U53</f>
        <v>4</v>
      </c>
      <c r="AH53" s="16" t="n">
        <f aca="false">J53-V53</f>
        <v>-3</v>
      </c>
      <c r="AI53" s="16" t="n">
        <f aca="false">K53-W53</f>
        <v>8.66666666666667</v>
      </c>
      <c r="AJ53" s="16" t="n">
        <f aca="false">L53-X53</f>
        <v>14</v>
      </c>
      <c r="AK53" s="16" t="n">
        <f aca="false">M53-Y53</f>
        <v>8.5</v>
      </c>
      <c r="AL53" s="16" t="n">
        <f aca="false">N53-Z53</f>
        <v>31.5</v>
      </c>
    </row>
    <row r="54" customFormat="false" ht="15" hidden="false" customHeight="false" outlineLevel="0" collapsed="false">
      <c r="A54" s="6" t="s">
        <v>77</v>
      </c>
      <c r="B54" s="7" t="s">
        <v>78</v>
      </c>
      <c r="C54" s="38" t="s">
        <v>179</v>
      </c>
      <c r="D54" s="16" t="n">
        <f aca="false">AVERAGEIF('Echuca Games For'!$A$5:$A$25,D$5,'Echuca Games For'!AZ$5:AZ$25)</f>
        <v>46</v>
      </c>
      <c r="E54" s="16" t="n">
        <f aca="false">AVERAGEIF('Echuca Games For'!$A$5:$A$25,E$5,'Echuca Games For'!AZ$5:AZ$25)</f>
        <v>51</v>
      </c>
      <c r="F54" s="16" t="n">
        <f aca="false">AVERAGEIF('Echuca Games For'!$A$5:$A$25,F$5,'Echuca Games For'!AZ$5:AZ$25)</f>
        <v>56</v>
      </c>
      <c r="G54" s="16" t="n">
        <f aca="false">AVERAGEIF('Echuca Games For'!$A$5:$A$25,G$5,'Echuca Games For'!AZ$5:AZ$25)</f>
        <v>33</v>
      </c>
      <c r="H54" s="16" t="n">
        <f aca="false">AVERAGEIF('Echuca Games For'!$A$5:$A$25,H$5,'Echuca Games For'!AZ$5:AZ$25)</f>
        <v>43.5</v>
      </c>
      <c r="I54" s="16" t="n">
        <f aca="false">AVERAGEIF('Echuca Games For'!$A$5:$A$25,I$5,'Echuca Games For'!AZ$5:AZ$25)</f>
        <v>49</v>
      </c>
      <c r="J54" s="16" t="n">
        <f aca="false">AVERAGEIF('Echuca Games For'!$A$5:$A$25,J$5,'Echuca Games For'!AZ$5:AZ$25)</f>
        <v>46</v>
      </c>
      <c r="K54" s="16" t="n">
        <f aca="false">AVERAGEIF('Echuca Games For'!$A$5:$A$25,K$5,'Echuca Games For'!AZ$5:AZ$25)</f>
        <v>57</v>
      </c>
      <c r="L54" s="16" t="n">
        <f aca="false">AVERAGEIF('Echuca Games For'!$A$5:$A$25,L$5,'Echuca Games For'!AZ$5:AZ$25)</f>
        <v>65</v>
      </c>
      <c r="M54" s="16" t="n">
        <f aca="false">AVERAGEIF('Echuca Games For'!$A$5:$A$25,M$5,'Echuca Games For'!AZ$5:AZ$25)</f>
        <v>71.5</v>
      </c>
      <c r="N54" s="16" t="n">
        <f aca="false">AVERAGEIF('Echuca Games For'!$A$5:$A$25,N$5,'Echuca Games For'!AZ$5:AZ$25)</f>
        <v>54</v>
      </c>
      <c r="P54" s="16" t="n">
        <f aca="false">AVERAGEIF('Echuca Games Against'!$A$5:$A$25,D$5,'Echuca Games Against'!AZ$5:AZ$25)</f>
        <v>53.5</v>
      </c>
      <c r="Q54" s="16" t="n">
        <f aca="false">AVERAGEIF('Echuca Games Against'!$A$5:$A$25,E$5,'Echuca Games Against'!AZ$5:AZ$25)</f>
        <v>60</v>
      </c>
      <c r="R54" s="16" t="n">
        <f aca="false">AVERAGEIF('Echuca Games Against'!$A$5:$A$25,F$5,'Echuca Games Against'!AZ$5:AZ$25)</f>
        <v>52.3333333333333</v>
      </c>
      <c r="S54" s="16" t="n">
        <f aca="false">AVERAGEIF('Echuca Games Against'!$A$5:$A$25,G$5,'Echuca Games Against'!AZ$5:AZ$25)</f>
        <v>44</v>
      </c>
      <c r="T54" s="16" t="n">
        <f aca="false">AVERAGEIF('Echuca Games Against'!$A$5:$A$25,H$5,'Echuca Games Against'!AZ$5:AZ$25)</f>
        <v>40</v>
      </c>
      <c r="U54" s="16" t="n">
        <f aca="false">AVERAGEIF('Echuca Games Against'!$A$5:$A$25,I$5,'Echuca Games Against'!AZ$5:AZ$25)</f>
        <v>35.5</v>
      </c>
      <c r="V54" s="16" t="n">
        <f aca="false">AVERAGEIF('Echuca Games Against'!$A$5:$A$25,J$5,'Echuca Games Against'!AZ$5:AZ$25)</f>
        <v>51</v>
      </c>
      <c r="W54" s="16" t="n">
        <f aca="false">AVERAGEIF('Echuca Games Against'!$A$5:$A$25,K$5,'Echuca Games Against'!AZ$5:AZ$25)</f>
        <v>50.3333333333333</v>
      </c>
      <c r="X54" s="16" t="n">
        <f aca="false">AVERAGEIF('Echuca Games Against'!$A$5:$A$25,L$5,'Echuca Games Against'!AZ$5:AZ$25)</f>
        <v>46</v>
      </c>
      <c r="Y54" s="16" t="n">
        <f aca="false">AVERAGEIF('Echuca Games Against'!$A$5:$A$25,M$5,'Echuca Games Against'!AZ$5:AZ$25)</f>
        <v>43.5</v>
      </c>
      <c r="Z54" s="16" t="n">
        <f aca="false">AVERAGEIF('Echuca Games Against'!$A$5:$A$25,N$5,'Echuca Games Against'!AZ$5:AZ$25)</f>
        <v>57</v>
      </c>
      <c r="AB54" s="16" t="n">
        <f aca="false">D54-P54</f>
        <v>-7.5</v>
      </c>
      <c r="AC54" s="16" t="n">
        <f aca="false">E54-Q54</f>
        <v>-9</v>
      </c>
      <c r="AD54" s="16" t="n">
        <f aca="false">F54-R54</f>
        <v>3.66666666666666</v>
      </c>
      <c r="AE54" s="16" t="n">
        <f aca="false">G54-S54</f>
        <v>-11</v>
      </c>
      <c r="AF54" s="16" t="n">
        <f aca="false">H54-T54</f>
        <v>3.5</v>
      </c>
      <c r="AG54" s="16" t="n">
        <f aca="false">I54-U54</f>
        <v>13.5</v>
      </c>
      <c r="AH54" s="16" t="n">
        <f aca="false">J54-V54</f>
        <v>-5</v>
      </c>
      <c r="AI54" s="16" t="n">
        <f aca="false">K54-W54</f>
        <v>6.66666666666666</v>
      </c>
      <c r="AJ54" s="16" t="n">
        <f aca="false">L54-X54</f>
        <v>19</v>
      </c>
      <c r="AK54" s="16" t="n">
        <f aca="false">M54-Y54</f>
        <v>28</v>
      </c>
      <c r="AL54" s="16" t="n">
        <f aca="false">N54-Z54</f>
        <v>-3</v>
      </c>
    </row>
    <row r="55" customFormat="false" ht="15" hidden="false" customHeight="false" outlineLevel="0" collapsed="false">
      <c r="A55" s="6" t="s">
        <v>57</v>
      </c>
      <c r="B55" s="7" t="s">
        <v>58</v>
      </c>
      <c r="C55" s="38" t="s">
        <v>179</v>
      </c>
      <c r="D55" s="16" t="n">
        <f aca="false">AVERAGEIF('Echuca Games For'!$A$5:$A$25,D$5,'Echuca Games For'!BA$5:BA$25)</f>
        <v>71.5</v>
      </c>
      <c r="E55" s="16" t="n">
        <f aca="false">AVERAGEIF('Echuca Games For'!$A$5:$A$25,E$5,'Echuca Games For'!BA$5:BA$25)</f>
        <v>74</v>
      </c>
      <c r="F55" s="16" t="n">
        <f aca="false">AVERAGEIF('Echuca Games For'!$A$5:$A$25,F$5,'Echuca Games For'!BA$5:BA$25)</f>
        <v>64.3333333333333</v>
      </c>
      <c r="G55" s="16" t="n">
        <f aca="false">AVERAGEIF('Echuca Games For'!$A$5:$A$25,G$5,'Echuca Games For'!BA$5:BA$25)</f>
        <v>63</v>
      </c>
      <c r="H55" s="16" t="n">
        <f aca="false">AVERAGEIF('Echuca Games For'!$A$5:$A$25,H$5,'Echuca Games For'!BA$5:BA$25)</f>
        <v>71.5</v>
      </c>
      <c r="I55" s="16" t="n">
        <f aca="false">AVERAGEIF('Echuca Games For'!$A$5:$A$25,I$5,'Echuca Games For'!BA$5:BA$25)</f>
        <v>64.5</v>
      </c>
      <c r="J55" s="16" t="n">
        <f aca="false">AVERAGEIF('Echuca Games For'!$A$5:$A$25,J$5,'Echuca Games For'!BA$5:BA$25)</f>
        <v>68.5</v>
      </c>
      <c r="K55" s="16" t="n">
        <f aca="false">AVERAGEIF('Echuca Games For'!$A$5:$A$25,K$5,'Echuca Games For'!BA$5:BA$25)</f>
        <v>65</v>
      </c>
      <c r="L55" s="16" t="n">
        <f aca="false">AVERAGEIF('Echuca Games For'!$A$5:$A$25,L$5,'Echuca Games For'!BA$5:BA$25)</f>
        <v>77</v>
      </c>
      <c r="M55" s="16" t="n">
        <f aca="false">AVERAGEIF('Echuca Games For'!$A$5:$A$25,M$5,'Echuca Games For'!BA$5:BA$25)</f>
        <v>70.5</v>
      </c>
      <c r="N55" s="16" t="n">
        <f aca="false">AVERAGEIF('Echuca Games For'!$A$5:$A$25,N$5,'Echuca Games For'!BA$5:BA$25)</f>
        <v>75.5</v>
      </c>
      <c r="P55" s="16" t="n">
        <f aca="false">AVERAGEIF('Echuca Games Against'!$A$5:$A$25,D$5,'Echuca Games Against'!BA$5:BA$25)</f>
        <v>61.5</v>
      </c>
      <c r="Q55" s="16" t="n">
        <f aca="false">AVERAGEIF('Echuca Games Against'!$A$5:$A$25,E$5,'Echuca Games Against'!BA$5:BA$25)</f>
        <v>60</v>
      </c>
      <c r="R55" s="16" t="n">
        <f aca="false">AVERAGEIF('Echuca Games Against'!$A$5:$A$25,F$5,'Echuca Games Against'!BA$5:BA$25)</f>
        <v>65</v>
      </c>
      <c r="S55" s="16" t="n">
        <f aca="false">AVERAGEIF('Echuca Games Against'!$A$5:$A$25,G$5,'Echuca Games Against'!BA$5:BA$25)</f>
        <v>53</v>
      </c>
      <c r="T55" s="16" t="n">
        <f aca="false">AVERAGEIF('Echuca Games Against'!$A$5:$A$25,H$5,'Echuca Games Against'!BA$5:BA$25)</f>
        <v>65</v>
      </c>
      <c r="U55" s="16" t="n">
        <f aca="false">AVERAGEIF('Echuca Games Against'!$A$5:$A$25,I$5,'Echuca Games Against'!BA$5:BA$25)</f>
        <v>64</v>
      </c>
      <c r="V55" s="16" t="n">
        <f aca="false">AVERAGEIF('Echuca Games Against'!$A$5:$A$25,J$5,'Echuca Games Against'!BA$5:BA$25)</f>
        <v>67.5</v>
      </c>
      <c r="W55" s="16" t="n">
        <f aca="false">AVERAGEIF('Echuca Games Against'!$A$5:$A$25,K$5,'Echuca Games Against'!BA$5:BA$25)</f>
        <v>59</v>
      </c>
      <c r="X55" s="16" t="n">
        <f aca="false">AVERAGEIF('Echuca Games Against'!$A$5:$A$25,L$5,'Echuca Games Against'!BA$5:BA$25)</f>
        <v>65</v>
      </c>
      <c r="Y55" s="16" t="n">
        <f aca="false">AVERAGEIF('Echuca Games Against'!$A$5:$A$25,M$5,'Echuca Games Against'!BA$5:BA$25)</f>
        <v>65.5</v>
      </c>
      <c r="Z55" s="16" t="n">
        <f aca="false">AVERAGEIF('Echuca Games Against'!$A$5:$A$25,N$5,'Echuca Games Against'!BA$5:BA$25)</f>
        <v>71</v>
      </c>
      <c r="AB55" s="16" t="n">
        <f aca="false">D55-P55</f>
        <v>10</v>
      </c>
      <c r="AC55" s="16" t="n">
        <f aca="false">E55-Q55</f>
        <v>14</v>
      </c>
      <c r="AD55" s="16" t="n">
        <f aca="false">F55-R55</f>
        <v>-0.666666666666671</v>
      </c>
      <c r="AE55" s="16" t="n">
        <f aca="false">G55-S55</f>
        <v>10</v>
      </c>
      <c r="AF55" s="16" t="n">
        <f aca="false">H55-T55</f>
        <v>6.5</v>
      </c>
      <c r="AG55" s="16" t="n">
        <f aca="false">I55-U55</f>
        <v>0.5</v>
      </c>
      <c r="AH55" s="16" t="n">
        <f aca="false">J55-V55</f>
        <v>1</v>
      </c>
      <c r="AI55" s="16" t="n">
        <f aca="false">K55-W55</f>
        <v>6</v>
      </c>
      <c r="AJ55" s="16" t="n">
        <f aca="false">L55-X55</f>
        <v>12</v>
      </c>
      <c r="AK55" s="16" t="n">
        <f aca="false">M55-Y55</f>
        <v>5</v>
      </c>
      <c r="AL55" s="16" t="n">
        <f aca="false">N55-Z55</f>
        <v>4.5</v>
      </c>
    </row>
    <row r="56" customFormat="false" ht="15" hidden="false" customHeight="false" outlineLevel="0" collapsed="false">
      <c r="A56" s="6" t="s">
        <v>99</v>
      </c>
      <c r="B56" s="7" t="s">
        <v>100</v>
      </c>
      <c r="C56" s="38" t="s">
        <v>179</v>
      </c>
      <c r="D56" s="16" t="n">
        <f aca="false">AVERAGEIF('Echuca Games For'!$A$5:$A$25,D$5,'Echuca Games For'!BB$5:BB$25)</f>
        <v>52</v>
      </c>
      <c r="E56" s="16" t="n">
        <f aca="false">AVERAGEIF('Echuca Games For'!$A$5:$A$25,E$5,'Echuca Games For'!BB$5:BB$25)</f>
        <v>57</v>
      </c>
      <c r="F56" s="16" t="n">
        <f aca="false">AVERAGEIF('Echuca Games For'!$A$5:$A$25,F$5,'Echuca Games For'!BB$5:BB$25)</f>
        <v>49</v>
      </c>
      <c r="G56" s="16" t="n">
        <f aca="false">AVERAGEIF('Echuca Games For'!$A$5:$A$25,G$5,'Echuca Games For'!BB$5:BB$25)</f>
        <v>51</v>
      </c>
      <c r="H56" s="16" t="n">
        <f aca="false">AVERAGEIF('Echuca Games For'!$A$5:$A$25,H$5,'Echuca Games For'!BB$5:BB$25)</f>
        <v>62.5</v>
      </c>
      <c r="I56" s="16" t="n">
        <f aca="false">AVERAGEIF('Echuca Games For'!$A$5:$A$25,I$5,'Echuca Games For'!BB$5:BB$25)</f>
        <v>49.5</v>
      </c>
      <c r="J56" s="16" t="n">
        <f aca="false">AVERAGEIF('Echuca Games For'!$A$5:$A$25,J$5,'Echuca Games For'!BB$5:BB$25)</f>
        <v>53.5</v>
      </c>
      <c r="K56" s="16" t="n">
        <f aca="false">AVERAGEIF('Echuca Games For'!$A$5:$A$25,K$5,'Echuca Games For'!BB$5:BB$25)</f>
        <v>53</v>
      </c>
      <c r="L56" s="16" t="n">
        <f aca="false">AVERAGEIF('Echuca Games For'!$A$5:$A$25,L$5,'Echuca Games For'!BB$5:BB$25)</f>
        <v>52</v>
      </c>
      <c r="M56" s="16" t="n">
        <f aca="false">AVERAGEIF('Echuca Games For'!$A$5:$A$25,M$5,'Echuca Games For'!BB$5:BB$25)</f>
        <v>58</v>
      </c>
      <c r="N56" s="16" t="n">
        <f aca="false">AVERAGEIF('Echuca Games For'!$A$5:$A$25,N$5,'Echuca Games For'!BB$5:BB$25)</f>
        <v>61.5</v>
      </c>
      <c r="P56" s="16" t="n">
        <f aca="false">AVERAGEIF('Echuca Games Against'!$A$5:$A$25,D$5,'Echuca Games Against'!BB$5:BB$25)</f>
        <v>48.5</v>
      </c>
      <c r="Q56" s="16" t="n">
        <f aca="false">AVERAGEIF('Echuca Games Against'!$A$5:$A$25,E$5,'Echuca Games Against'!BB$5:BB$25)</f>
        <v>29</v>
      </c>
      <c r="R56" s="16" t="n">
        <f aca="false">AVERAGEIF('Echuca Games Against'!$A$5:$A$25,F$5,'Echuca Games Against'!BB$5:BB$25)</f>
        <v>49</v>
      </c>
      <c r="S56" s="16" t="n">
        <f aca="false">AVERAGEIF('Echuca Games Against'!$A$5:$A$25,G$5,'Echuca Games Against'!BB$5:BB$25)</f>
        <v>33</v>
      </c>
      <c r="T56" s="16" t="n">
        <f aca="false">AVERAGEIF('Echuca Games Against'!$A$5:$A$25,H$5,'Echuca Games Against'!BB$5:BB$25)</f>
        <v>51.5</v>
      </c>
      <c r="U56" s="16" t="n">
        <f aca="false">AVERAGEIF('Echuca Games Against'!$A$5:$A$25,I$5,'Echuca Games Against'!BB$5:BB$25)</f>
        <v>44.5</v>
      </c>
      <c r="V56" s="16" t="n">
        <f aca="false">AVERAGEIF('Echuca Games Against'!$A$5:$A$25,J$5,'Echuca Games Against'!BB$5:BB$25)</f>
        <v>50.5</v>
      </c>
      <c r="W56" s="16" t="n">
        <f aca="false">AVERAGEIF('Echuca Games Against'!$A$5:$A$25,K$5,'Echuca Games Against'!BB$5:BB$25)</f>
        <v>35.6666666666667</v>
      </c>
      <c r="X56" s="16" t="n">
        <f aca="false">AVERAGEIF('Echuca Games Against'!$A$5:$A$25,L$5,'Echuca Games Against'!BB$5:BB$25)</f>
        <v>36</v>
      </c>
      <c r="Y56" s="16" t="n">
        <f aca="false">AVERAGEIF('Echuca Games Against'!$A$5:$A$25,M$5,'Echuca Games Against'!BB$5:BB$25)</f>
        <v>45</v>
      </c>
      <c r="Z56" s="16" t="n">
        <f aca="false">AVERAGEIF('Echuca Games Against'!$A$5:$A$25,N$5,'Echuca Games Against'!BB$5:BB$25)</f>
        <v>52.5</v>
      </c>
      <c r="AB56" s="16" t="n">
        <f aca="false">D56-P56</f>
        <v>3.5</v>
      </c>
      <c r="AC56" s="16" t="n">
        <f aca="false">E56-Q56</f>
        <v>28</v>
      </c>
      <c r="AD56" s="16" t="n">
        <f aca="false">F56-R56</f>
        <v>0</v>
      </c>
      <c r="AE56" s="16" t="n">
        <f aca="false">G56-S56</f>
        <v>18</v>
      </c>
      <c r="AF56" s="16" t="n">
        <f aca="false">H56-T56</f>
        <v>11</v>
      </c>
      <c r="AG56" s="16" t="n">
        <f aca="false">I56-U56</f>
        <v>5</v>
      </c>
      <c r="AH56" s="16" t="n">
        <f aca="false">J56-V56</f>
        <v>3</v>
      </c>
      <c r="AI56" s="16" t="n">
        <f aca="false">K56-W56</f>
        <v>17.3333333333333</v>
      </c>
      <c r="AJ56" s="16" t="n">
        <f aca="false">L56-X56</f>
        <v>16</v>
      </c>
      <c r="AK56" s="16" t="n">
        <f aca="false">M56-Y56</f>
        <v>13</v>
      </c>
      <c r="AL56" s="16" t="n">
        <f aca="false">N56-Z56</f>
        <v>9</v>
      </c>
    </row>
    <row r="57" customFormat="false" ht="15" hidden="false" customHeight="false" outlineLevel="0" collapsed="false">
      <c r="A57" s="6" t="s">
        <v>107</v>
      </c>
      <c r="B57" s="7" t="s">
        <v>108</v>
      </c>
      <c r="C57" s="38" t="s">
        <v>179</v>
      </c>
      <c r="D57" s="16" t="n">
        <f aca="false">AVERAGEIF('Echuca Games For'!$A$5:$A$25,D$5,'Echuca Games For'!BC$5:BC$25)</f>
        <v>65.5</v>
      </c>
      <c r="E57" s="16" t="n">
        <f aca="false">AVERAGEIF('Echuca Games For'!$A$5:$A$25,E$5,'Echuca Games For'!BC$5:BC$25)</f>
        <v>65</v>
      </c>
      <c r="F57" s="16" t="n">
        <f aca="false">AVERAGEIF('Echuca Games For'!$A$5:$A$25,F$5,'Echuca Games For'!BC$5:BC$25)</f>
        <v>58</v>
      </c>
      <c r="G57" s="16" t="n">
        <f aca="false">AVERAGEIF('Echuca Games For'!$A$5:$A$25,G$5,'Echuca Games For'!BC$5:BC$25)</f>
        <v>56</v>
      </c>
      <c r="H57" s="16" t="n">
        <f aca="false">AVERAGEIF('Echuca Games For'!$A$5:$A$25,H$5,'Echuca Games For'!BC$5:BC$25)</f>
        <v>67</v>
      </c>
      <c r="I57" s="16" t="n">
        <f aca="false">AVERAGEIF('Echuca Games For'!$A$5:$A$25,I$5,'Echuca Games For'!BC$5:BC$25)</f>
        <v>59</v>
      </c>
      <c r="J57" s="16" t="n">
        <f aca="false">AVERAGEIF('Echuca Games For'!$A$5:$A$25,J$5,'Echuca Games For'!BC$5:BC$25)</f>
        <v>60.5</v>
      </c>
      <c r="K57" s="16" t="n">
        <f aca="false">AVERAGEIF('Echuca Games For'!$A$5:$A$25,K$5,'Echuca Games For'!BC$5:BC$25)</f>
        <v>57</v>
      </c>
      <c r="L57" s="16" t="n">
        <f aca="false">AVERAGEIF('Echuca Games For'!$A$5:$A$25,L$5,'Echuca Games For'!BC$5:BC$25)</f>
        <v>72</v>
      </c>
      <c r="M57" s="16" t="n">
        <f aca="false">AVERAGEIF('Echuca Games For'!$A$5:$A$25,M$5,'Echuca Games For'!BC$5:BC$25)</f>
        <v>65.5</v>
      </c>
      <c r="N57" s="16" t="n">
        <f aca="false">AVERAGEIF('Echuca Games For'!$A$5:$A$25,N$5,'Echuca Games For'!BC$5:BC$25)</f>
        <v>69</v>
      </c>
      <c r="P57" s="16" t="n">
        <f aca="false">AVERAGEIF('Echuca Games Against'!$A$5:$A$25,D$5,'Echuca Games Against'!BC$5:BC$25)</f>
        <v>58</v>
      </c>
      <c r="Q57" s="16" t="n">
        <f aca="false">AVERAGEIF('Echuca Games Against'!$A$5:$A$25,E$5,'Echuca Games Against'!BC$5:BC$25)</f>
        <v>53</v>
      </c>
      <c r="R57" s="16" t="n">
        <f aca="false">AVERAGEIF('Echuca Games Against'!$A$5:$A$25,F$5,'Echuca Games Against'!BC$5:BC$25)</f>
        <v>59</v>
      </c>
      <c r="S57" s="16" t="n">
        <f aca="false">AVERAGEIF('Echuca Games Against'!$A$5:$A$25,G$5,'Echuca Games Against'!BC$5:BC$25)</f>
        <v>41</v>
      </c>
      <c r="T57" s="16" t="n">
        <f aca="false">AVERAGEIF('Echuca Games Against'!$A$5:$A$25,H$5,'Echuca Games Against'!BC$5:BC$25)</f>
        <v>53</v>
      </c>
      <c r="U57" s="16" t="n">
        <f aca="false">AVERAGEIF('Echuca Games Against'!$A$5:$A$25,I$5,'Echuca Games Against'!BC$5:BC$25)</f>
        <v>54.5</v>
      </c>
      <c r="V57" s="16" t="n">
        <f aca="false">AVERAGEIF('Echuca Games Against'!$A$5:$A$25,J$5,'Echuca Games Against'!BC$5:BC$25)</f>
        <v>61</v>
      </c>
      <c r="W57" s="16" t="n">
        <f aca="false">AVERAGEIF('Echuca Games Against'!$A$5:$A$25,K$5,'Echuca Games Against'!BC$5:BC$25)</f>
        <v>50.3333333333333</v>
      </c>
      <c r="X57" s="16" t="n">
        <f aca="false">AVERAGEIF('Echuca Games Against'!$A$5:$A$25,L$5,'Echuca Games Against'!BC$5:BC$25)</f>
        <v>60</v>
      </c>
      <c r="Y57" s="16" t="n">
        <f aca="false">AVERAGEIF('Echuca Games Against'!$A$5:$A$25,M$5,'Echuca Games Against'!BC$5:BC$25)</f>
        <v>59.5</v>
      </c>
      <c r="Z57" s="16" t="n">
        <f aca="false">AVERAGEIF('Echuca Games Against'!$A$5:$A$25,N$5,'Echuca Games Against'!BC$5:BC$25)</f>
        <v>68</v>
      </c>
      <c r="AB57" s="16" t="n">
        <f aca="false">D57-P57</f>
        <v>7.5</v>
      </c>
      <c r="AC57" s="16" t="n">
        <f aca="false">E57-Q57</f>
        <v>12</v>
      </c>
      <c r="AD57" s="16" t="n">
        <f aca="false">F57-R57</f>
        <v>-1</v>
      </c>
      <c r="AE57" s="16" t="n">
        <f aca="false">G57-S57</f>
        <v>15</v>
      </c>
      <c r="AF57" s="16" t="n">
        <f aca="false">H57-T57</f>
        <v>14</v>
      </c>
      <c r="AG57" s="16" t="n">
        <f aca="false">I57-U57</f>
        <v>4.5</v>
      </c>
      <c r="AH57" s="16" t="n">
        <f aca="false">J57-V57</f>
        <v>-0.5</v>
      </c>
      <c r="AI57" s="16" t="n">
        <f aca="false">K57-W57</f>
        <v>6.66666666666666</v>
      </c>
      <c r="AJ57" s="16" t="n">
        <f aca="false">L57-X57</f>
        <v>12</v>
      </c>
      <c r="AK57" s="16" t="n">
        <f aca="false">M57-Y57</f>
        <v>6</v>
      </c>
      <c r="AL57" s="16" t="n">
        <f aca="false">N57-Z57</f>
        <v>1</v>
      </c>
    </row>
    <row r="58" customFormat="false" ht="15" hidden="false" customHeight="false" outlineLevel="0" collapsed="false">
      <c r="A58" s="6" t="s">
        <v>83</v>
      </c>
      <c r="B58" s="7" t="s">
        <v>84</v>
      </c>
      <c r="C58" s="38" t="s">
        <v>179</v>
      </c>
      <c r="D58" s="16" t="n">
        <f aca="false">AVERAGEIF('Echuca Games For'!$A$5:$A$25,D$5,'Echuca Games For'!BD$5:BD$25)</f>
        <v>79.5</v>
      </c>
      <c r="E58" s="16" t="n">
        <f aca="false">AVERAGEIF('Echuca Games For'!$A$5:$A$25,E$5,'Echuca Games For'!BD$5:BD$25)</f>
        <v>87</v>
      </c>
      <c r="F58" s="16" t="n">
        <f aca="false">AVERAGEIF('Echuca Games For'!$A$5:$A$25,F$5,'Echuca Games For'!BD$5:BD$25)</f>
        <v>74.6666666666667</v>
      </c>
      <c r="G58" s="16" t="n">
        <f aca="false">AVERAGEIF('Echuca Games For'!$A$5:$A$25,G$5,'Echuca Games For'!BD$5:BD$25)</f>
        <v>75</v>
      </c>
      <c r="H58" s="16" t="n">
        <f aca="false">AVERAGEIF('Echuca Games For'!$A$5:$A$25,H$5,'Echuca Games For'!BD$5:BD$25)</f>
        <v>80</v>
      </c>
      <c r="I58" s="16" t="n">
        <f aca="false">AVERAGEIF('Echuca Games For'!$A$5:$A$25,I$5,'Echuca Games For'!BD$5:BD$25)</f>
        <v>73.5</v>
      </c>
      <c r="J58" s="16" t="n">
        <f aca="false">AVERAGEIF('Echuca Games For'!$A$5:$A$25,J$5,'Echuca Games For'!BD$5:BD$25)</f>
        <v>81</v>
      </c>
      <c r="K58" s="16" t="n">
        <f aca="false">AVERAGEIF('Echuca Games For'!$A$5:$A$25,K$5,'Echuca Games For'!BD$5:BD$25)</f>
        <v>76.6666666666667</v>
      </c>
      <c r="L58" s="16" t="n">
        <f aca="false">AVERAGEIF('Echuca Games For'!$A$5:$A$25,L$5,'Echuca Games For'!BD$5:BD$25)</f>
        <v>84</v>
      </c>
      <c r="M58" s="16" t="n">
        <f aca="false">AVERAGEIF('Echuca Games For'!$A$5:$A$25,M$5,'Echuca Games For'!BD$5:BD$25)</f>
        <v>79</v>
      </c>
      <c r="N58" s="16" t="n">
        <f aca="false">AVERAGEIF('Echuca Games For'!$A$5:$A$25,N$5,'Echuca Games For'!BD$5:BD$25)</f>
        <v>84</v>
      </c>
      <c r="P58" s="16" t="n">
        <f aca="false">AVERAGEIF('Echuca Games Against'!$A$5:$A$25,D$5,'Echuca Games Against'!BD$5:BD$25)</f>
        <v>67.5</v>
      </c>
      <c r="Q58" s="16" t="n">
        <f aca="false">AVERAGEIF('Echuca Games Against'!$A$5:$A$25,E$5,'Echuca Games Against'!BD$5:BD$25)</f>
        <v>70</v>
      </c>
      <c r="R58" s="16" t="n">
        <f aca="false">AVERAGEIF('Echuca Games Against'!$A$5:$A$25,F$5,'Echuca Games Against'!BD$5:BD$25)</f>
        <v>74</v>
      </c>
      <c r="S58" s="16" t="n">
        <f aca="false">AVERAGEIF('Echuca Games Against'!$A$5:$A$25,G$5,'Echuca Games Against'!BD$5:BD$25)</f>
        <v>73</v>
      </c>
      <c r="T58" s="16" t="n">
        <f aca="false">AVERAGEIF('Echuca Games Against'!$A$5:$A$25,H$5,'Echuca Games Against'!BD$5:BD$25)</f>
        <v>82.5</v>
      </c>
      <c r="U58" s="16" t="n">
        <f aca="false">AVERAGEIF('Echuca Games Against'!$A$5:$A$25,I$5,'Echuca Games Against'!BD$5:BD$25)</f>
        <v>75.5</v>
      </c>
      <c r="V58" s="16" t="n">
        <f aca="false">AVERAGEIF('Echuca Games Against'!$A$5:$A$25,J$5,'Echuca Games Against'!BD$5:BD$25)</f>
        <v>78</v>
      </c>
      <c r="W58" s="16" t="n">
        <f aca="false">AVERAGEIF('Echuca Games Against'!$A$5:$A$25,K$5,'Echuca Games Against'!BD$5:BD$25)</f>
        <v>73.6666666666667</v>
      </c>
      <c r="X58" s="16" t="n">
        <f aca="false">AVERAGEIF('Echuca Games Against'!$A$5:$A$25,L$5,'Echuca Games Against'!BD$5:BD$25)</f>
        <v>71</v>
      </c>
      <c r="Y58" s="16" t="n">
        <f aca="false">AVERAGEIF('Echuca Games Against'!$A$5:$A$25,M$5,'Echuca Games Against'!BD$5:BD$25)</f>
        <v>76.5</v>
      </c>
      <c r="Z58" s="16" t="n">
        <f aca="false">AVERAGEIF('Echuca Games Against'!$A$5:$A$25,N$5,'Echuca Games Against'!BD$5:BD$25)</f>
        <v>77</v>
      </c>
      <c r="AB58" s="16" t="n">
        <f aca="false">D58-P58</f>
        <v>12</v>
      </c>
      <c r="AC58" s="16" t="n">
        <f aca="false">E58-Q58</f>
        <v>17</v>
      </c>
      <c r="AD58" s="16" t="n">
        <f aca="false">F58-R58</f>
        <v>0.666666666666671</v>
      </c>
      <c r="AE58" s="16" t="n">
        <f aca="false">G58-S58</f>
        <v>2</v>
      </c>
      <c r="AF58" s="16" t="n">
        <f aca="false">H58-T58</f>
        <v>-2.5</v>
      </c>
      <c r="AG58" s="16" t="n">
        <f aca="false">I58-U58</f>
        <v>-2</v>
      </c>
      <c r="AH58" s="16" t="n">
        <f aca="false">J58-V58</f>
        <v>3</v>
      </c>
      <c r="AI58" s="16" t="n">
        <f aca="false">K58-W58</f>
        <v>3</v>
      </c>
      <c r="AJ58" s="16" t="n">
        <f aca="false">L58-X58</f>
        <v>13</v>
      </c>
      <c r="AK58" s="16" t="n">
        <f aca="false">M58-Y58</f>
        <v>2.5</v>
      </c>
      <c r="AL58" s="16" t="n">
        <f aca="false">N58-Z58</f>
        <v>7</v>
      </c>
    </row>
    <row r="59" customFormat="false" ht="15" hidden="false" customHeight="false" outlineLevel="0" collapsed="false">
      <c r="A59" s="6" t="s">
        <v>43</v>
      </c>
      <c r="B59" s="7" t="s">
        <v>44</v>
      </c>
      <c r="C59" s="38" t="s">
        <v>179</v>
      </c>
      <c r="D59" s="16" t="n">
        <f aca="false">AVERAGEIF('Echuca Games For'!$A$5:$A$25,D$5,'Echuca Games For'!BE$5:BE$25)</f>
        <v>66</v>
      </c>
      <c r="E59" s="16" t="n">
        <f aca="false">AVERAGEIF('Echuca Games For'!$A$5:$A$25,E$5,'Echuca Games For'!BE$5:BE$25)</f>
        <v>69</v>
      </c>
      <c r="F59" s="16" t="n">
        <f aca="false">AVERAGEIF('Echuca Games For'!$A$5:$A$25,F$5,'Echuca Games For'!BE$5:BE$25)</f>
        <v>61.6666666666667</v>
      </c>
      <c r="G59" s="16" t="n">
        <f aca="false">AVERAGEIF('Echuca Games For'!$A$5:$A$25,G$5,'Echuca Games For'!BE$5:BE$25)</f>
        <v>62</v>
      </c>
      <c r="H59" s="16" t="n">
        <f aca="false">AVERAGEIF('Echuca Games For'!$A$5:$A$25,H$5,'Echuca Games For'!BE$5:BE$25)</f>
        <v>67.5</v>
      </c>
      <c r="I59" s="16" t="n">
        <f aca="false">AVERAGEIF('Echuca Games For'!$A$5:$A$25,I$5,'Echuca Games For'!BE$5:BE$25)</f>
        <v>63.5</v>
      </c>
      <c r="J59" s="16" t="n">
        <f aca="false">AVERAGEIF('Echuca Games For'!$A$5:$A$25,J$5,'Echuca Games For'!BE$5:BE$25)</f>
        <v>64</v>
      </c>
      <c r="K59" s="16" t="n">
        <f aca="false">AVERAGEIF('Echuca Games For'!$A$5:$A$25,K$5,'Echuca Games For'!BE$5:BE$25)</f>
        <v>59</v>
      </c>
      <c r="L59" s="16" t="n">
        <f aca="false">AVERAGEIF('Echuca Games For'!$A$5:$A$25,L$5,'Echuca Games For'!BE$5:BE$25)</f>
        <v>56</v>
      </c>
      <c r="M59" s="16" t="n">
        <f aca="false">AVERAGEIF('Echuca Games For'!$A$5:$A$25,M$5,'Echuca Games For'!BE$5:BE$25)</f>
        <v>66.5</v>
      </c>
      <c r="N59" s="16" t="n">
        <f aca="false">AVERAGEIF('Echuca Games For'!$A$5:$A$25,N$5,'Echuca Games For'!BE$5:BE$25)</f>
        <v>71.5</v>
      </c>
      <c r="P59" s="16" t="n">
        <f aca="false">AVERAGEIF('Echuca Games Against'!$A$5:$A$25,D$5,'Echuca Games Against'!BE$5:BE$25)</f>
        <v>60</v>
      </c>
      <c r="Q59" s="16" t="n">
        <f aca="false">AVERAGEIF('Echuca Games Against'!$A$5:$A$25,E$5,'Echuca Games Against'!BE$5:BE$25)</f>
        <v>64</v>
      </c>
      <c r="R59" s="16" t="n">
        <f aca="false">AVERAGEIF('Echuca Games Against'!$A$5:$A$25,F$5,'Echuca Games Against'!BE$5:BE$25)</f>
        <v>56.3333333333333</v>
      </c>
      <c r="S59" s="16" t="n">
        <f aca="false">AVERAGEIF('Echuca Games Against'!$A$5:$A$25,G$5,'Echuca Games Against'!BE$5:BE$25)</f>
        <v>64</v>
      </c>
      <c r="T59" s="16" t="n">
        <f aca="false">AVERAGEIF('Echuca Games Against'!$A$5:$A$25,H$5,'Echuca Games Against'!BE$5:BE$25)</f>
        <v>66</v>
      </c>
      <c r="U59" s="16" t="n">
        <f aca="false">AVERAGEIF('Echuca Games Against'!$A$5:$A$25,I$5,'Echuca Games Against'!BE$5:BE$25)</f>
        <v>68</v>
      </c>
      <c r="V59" s="16" t="n">
        <f aca="false">AVERAGEIF('Echuca Games Against'!$A$5:$A$25,J$5,'Echuca Games Against'!BE$5:BE$25)</f>
        <v>56.5</v>
      </c>
      <c r="W59" s="16" t="n">
        <f aca="false">AVERAGEIF('Echuca Games Against'!$A$5:$A$25,K$5,'Echuca Games Against'!BE$5:BE$25)</f>
        <v>55.3333333333333</v>
      </c>
      <c r="X59" s="16" t="n">
        <f aca="false">AVERAGEIF('Echuca Games Against'!$A$5:$A$25,L$5,'Echuca Games Against'!BE$5:BE$25)</f>
        <v>59</v>
      </c>
      <c r="Y59" s="16" t="n">
        <f aca="false">AVERAGEIF('Echuca Games Against'!$A$5:$A$25,M$5,'Echuca Games Against'!BE$5:BE$25)</f>
        <v>57.5</v>
      </c>
      <c r="Z59" s="16" t="n">
        <f aca="false">AVERAGEIF('Echuca Games Against'!$A$5:$A$25,N$5,'Echuca Games Against'!BE$5:BE$25)</f>
        <v>51</v>
      </c>
      <c r="AB59" s="16" t="n">
        <f aca="false">D59-P59</f>
        <v>6</v>
      </c>
      <c r="AC59" s="16" t="n">
        <f aca="false">E59-Q59</f>
        <v>5</v>
      </c>
      <c r="AD59" s="16" t="n">
        <f aca="false">F59-R59</f>
        <v>5.33333333333333</v>
      </c>
      <c r="AE59" s="16" t="n">
        <f aca="false">G59-S59</f>
        <v>-2</v>
      </c>
      <c r="AF59" s="16" t="n">
        <f aca="false">H59-T59</f>
        <v>1.5</v>
      </c>
      <c r="AG59" s="16" t="n">
        <f aca="false">I59-U59</f>
        <v>-4.5</v>
      </c>
      <c r="AH59" s="16" t="n">
        <f aca="false">J59-V59</f>
        <v>7.5</v>
      </c>
      <c r="AI59" s="16" t="n">
        <f aca="false">K59-W59</f>
        <v>3.66666666666666</v>
      </c>
      <c r="AJ59" s="16" t="n">
        <f aca="false">L59-X59</f>
        <v>-3</v>
      </c>
      <c r="AK59" s="16" t="n">
        <f aca="false">M59-Y59</f>
        <v>9</v>
      </c>
      <c r="AL59" s="16" t="n">
        <f aca="false">N59-Z59</f>
        <v>20.5</v>
      </c>
    </row>
    <row r="60" customFormat="false" ht="15" hidden="false" customHeight="false" outlineLevel="0" collapsed="false">
      <c r="A60" s="6" t="s">
        <v>135</v>
      </c>
      <c r="B60" s="7" t="s">
        <v>136</v>
      </c>
      <c r="C60" s="38" t="s">
        <v>179</v>
      </c>
      <c r="D60" s="16" t="n">
        <f aca="false">AVERAGEIF('Echuca Games For'!$A$5:$A$25,D$5,'Echuca Games For'!BF$5:BF$25)</f>
        <v>77</v>
      </c>
      <c r="E60" s="16" t="n">
        <f aca="false">AVERAGEIF('Echuca Games For'!$A$5:$A$25,E$5,'Echuca Games For'!BF$5:BF$25)</f>
        <v>63</v>
      </c>
      <c r="F60" s="16" t="n">
        <f aca="false">AVERAGEIF('Echuca Games For'!$A$5:$A$25,F$5,'Echuca Games For'!BF$5:BF$25)</f>
        <v>62.6666666666667</v>
      </c>
      <c r="G60" s="16" t="n">
        <f aca="false">AVERAGEIF('Echuca Games For'!$A$5:$A$25,G$5,'Echuca Games For'!BF$5:BF$25)</f>
        <v>53</v>
      </c>
      <c r="H60" s="16" t="n">
        <f aca="false">AVERAGEIF('Echuca Games For'!$A$5:$A$25,H$5,'Echuca Games For'!BF$5:BF$25)</f>
        <v>80.5</v>
      </c>
      <c r="I60" s="16" t="n">
        <f aca="false">AVERAGEIF('Echuca Games For'!$A$5:$A$25,I$5,'Echuca Games For'!BF$5:BF$25)</f>
        <v>54</v>
      </c>
      <c r="J60" s="16" t="n">
        <f aca="false">AVERAGEIF('Echuca Games For'!$A$5:$A$25,J$5,'Echuca Games For'!BF$5:BF$25)</f>
        <v>66</v>
      </c>
      <c r="K60" s="16" t="n">
        <f aca="false">AVERAGEIF('Echuca Games For'!$A$5:$A$25,K$5,'Echuca Games For'!BF$5:BF$25)</f>
        <v>62.3333333333333</v>
      </c>
      <c r="L60" s="16" t="n">
        <f aca="false">AVERAGEIF('Echuca Games For'!$A$5:$A$25,L$5,'Echuca Games For'!BF$5:BF$25)</f>
        <v>58</v>
      </c>
      <c r="M60" s="16" t="n">
        <f aca="false">AVERAGEIF('Echuca Games For'!$A$5:$A$25,M$5,'Echuca Games For'!BF$5:BF$25)</f>
        <v>60</v>
      </c>
      <c r="N60" s="16" t="n">
        <f aca="false">AVERAGEIF('Echuca Games For'!$A$5:$A$25,N$5,'Echuca Games For'!BF$5:BF$25)</f>
        <v>68.5</v>
      </c>
      <c r="P60" s="16" t="n">
        <f aca="false">AVERAGEIF('Echuca Games Against'!$A$5:$A$25,D$5,'Echuca Games Against'!BF$5:BF$25)</f>
        <v>59.5</v>
      </c>
      <c r="Q60" s="16" t="n">
        <f aca="false">AVERAGEIF('Echuca Games Against'!$A$5:$A$25,E$5,'Echuca Games Against'!BF$5:BF$25)</f>
        <v>50</v>
      </c>
      <c r="R60" s="16" t="n">
        <f aca="false">AVERAGEIF('Echuca Games Against'!$A$5:$A$25,F$5,'Echuca Games Against'!BF$5:BF$25)</f>
        <v>53.6666666666667</v>
      </c>
      <c r="S60" s="16" t="n">
        <f aca="false">AVERAGEIF('Echuca Games Against'!$A$5:$A$25,G$5,'Echuca Games Against'!BF$5:BF$25)</f>
        <v>46</v>
      </c>
      <c r="T60" s="16" t="n">
        <f aca="false">AVERAGEIF('Echuca Games Against'!$A$5:$A$25,H$5,'Echuca Games Against'!BF$5:BF$25)</f>
        <v>55</v>
      </c>
      <c r="U60" s="16" t="n">
        <f aca="false">AVERAGEIF('Echuca Games Against'!$A$5:$A$25,I$5,'Echuca Games Against'!BF$5:BF$25)</f>
        <v>58.5</v>
      </c>
      <c r="V60" s="16" t="n">
        <f aca="false">AVERAGEIF('Echuca Games Against'!$A$5:$A$25,J$5,'Echuca Games Against'!BF$5:BF$25)</f>
        <v>54</v>
      </c>
      <c r="W60" s="16" t="n">
        <f aca="false">AVERAGEIF('Echuca Games Against'!$A$5:$A$25,K$5,'Echuca Games Against'!BF$5:BF$25)</f>
        <v>53.6666666666667</v>
      </c>
      <c r="X60" s="16" t="n">
        <f aca="false">AVERAGEIF('Echuca Games Against'!$A$5:$A$25,L$5,'Echuca Games Against'!BF$5:BF$25)</f>
        <v>74</v>
      </c>
      <c r="Y60" s="16" t="n">
        <f aca="false">AVERAGEIF('Echuca Games Against'!$A$5:$A$25,M$5,'Echuca Games Against'!BF$5:BF$25)</f>
        <v>52</v>
      </c>
      <c r="Z60" s="16" t="n">
        <f aca="false">AVERAGEIF('Echuca Games Against'!$A$5:$A$25,N$5,'Echuca Games Against'!BF$5:BF$25)</f>
        <v>51.5</v>
      </c>
      <c r="AB60" s="16" t="n">
        <f aca="false">D60-P60</f>
        <v>17.5</v>
      </c>
      <c r="AC60" s="16" t="n">
        <f aca="false">E60-Q60</f>
        <v>13</v>
      </c>
      <c r="AD60" s="16" t="n">
        <f aca="false">F60-R60</f>
        <v>9</v>
      </c>
      <c r="AE60" s="16" t="n">
        <f aca="false">G60-S60</f>
        <v>7</v>
      </c>
      <c r="AF60" s="16" t="n">
        <f aca="false">H60-T60</f>
        <v>25.5</v>
      </c>
      <c r="AG60" s="16" t="n">
        <f aca="false">I60-U60</f>
        <v>-4.5</v>
      </c>
      <c r="AH60" s="16" t="n">
        <f aca="false">J60-V60</f>
        <v>12</v>
      </c>
      <c r="AI60" s="16" t="n">
        <f aca="false">K60-W60</f>
        <v>8.66666666666667</v>
      </c>
      <c r="AJ60" s="16" t="n">
        <f aca="false">L60-X60</f>
        <v>-16</v>
      </c>
      <c r="AK60" s="16" t="n">
        <f aca="false">M60-Y60</f>
        <v>8</v>
      </c>
      <c r="AL60" s="16" t="n">
        <f aca="false">N60-Z60</f>
        <v>17</v>
      </c>
    </row>
    <row r="61" customFormat="false" ht="15" hidden="false" customHeight="false" outlineLevel="0" collapsed="false">
      <c r="A61" s="6" t="s">
        <v>113</v>
      </c>
      <c r="B61" s="7" t="s">
        <v>114</v>
      </c>
      <c r="C61" s="38" t="s">
        <v>179</v>
      </c>
      <c r="D61" s="16" t="n">
        <f aca="false">AVERAGEIF('Echuca Games For'!$A$5:$A$25,D$5,'Echuca Games For'!BG$5:BG$25)</f>
        <v>100</v>
      </c>
      <c r="E61" s="16" t="n">
        <f aca="false">AVERAGEIF('Echuca Games For'!$A$5:$A$25,E$5,'Echuca Games For'!BG$5:BG$25)</f>
        <v>67</v>
      </c>
      <c r="F61" s="16" t="n">
        <f aca="false">AVERAGEIF('Echuca Games For'!$A$5:$A$25,F$5,'Echuca Games For'!BG$5:BG$25)</f>
        <v>82.6666666666667</v>
      </c>
      <c r="G61" s="16" t="n">
        <f aca="false">AVERAGEIF('Echuca Games For'!$A$5:$A$25,G$5,'Echuca Games For'!BG$5:BG$25)</f>
        <v>50</v>
      </c>
      <c r="H61" s="16" t="n">
        <f aca="false">AVERAGEIF('Echuca Games For'!$A$5:$A$25,H$5,'Echuca Games For'!BG$5:BG$25)</f>
        <v>89</v>
      </c>
      <c r="I61" s="16" t="n">
        <f aca="false">AVERAGEIF('Echuca Games For'!$A$5:$A$25,I$5,'Echuca Games For'!BG$5:BG$25)</f>
        <v>78.5</v>
      </c>
      <c r="J61" s="16" t="n">
        <f aca="false">AVERAGEIF('Echuca Games For'!$A$5:$A$25,J$5,'Echuca Games For'!BG$5:BG$25)</f>
        <v>78</v>
      </c>
      <c r="K61" s="16" t="n">
        <f aca="false">AVERAGEIF('Echuca Games For'!$A$5:$A$25,K$5,'Echuca Games For'!BG$5:BG$25)</f>
        <v>82.6666666666667</v>
      </c>
      <c r="L61" s="16" t="n">
        <f aca="false">AVERAGEIF('Echuca Games For'!$A$5:$A$25,L$5,'Echuca Games For'!BG$5:BG$25)</f>
        <v>88</v>
      </c>
      <c r="M61" s="16" t="n">
        <f aca="false">AVERAGEIF('Echuca Games For'!$A$5:$A$25,M$5,'Echuca Games For'!BG$5:BG$25)</f>
        <v>74</v>
      </c>
      <c r="N61" s="16" t="n">
        <f aca="false">AVERAGEIF('Echuca Games For'!$A$5:$A$25,N$5,'Echuca Games For'!BG$5:BG$25)</f>
        <v>41.5</v>
      </c>
      <c r="P61" s="16" t="n">
        <f aca="false">AVERAGEIF('Echuca Games Against'!$A$5:$A$25,D$5,'Echuca Games Against'!BG$5:BG$25)</f>
        <v>80</v>
      </c>
      <c r="Q61" s="16" t="n">
        <f aca="false">AVERAGEIF('Echuca Games Against'!$A$5:$A$25,E$5,'Echuca Games Against'!BG$5:BG$25)</f>
        <v>59</v>
      </c>
      <c r="R61" s="16" t="n">
        <f aca="false">AVERAGEIF('Echuca Games Against'!$A$5:$A$25,F$5,'Echuca Games Against'!BG$5:BG$25)</f>
        <v>64.6666666666667</v>
      </c>
      <c r="S61" s="16" t="n">
        <f aca="false">AVERAGEIF('Echuca Games Against'!$A$5:$A$25,G$5,'Echuca Games Against'!BG$5:BG$25)</f>
        <v>75</v>
      </c>
      <c r="T61" s="16" t="n">
        <f aca="false">AVERAGEIF('Echuca Games Against'!$A$5:$A$25,H$5,'Echuca Games Against'!BG$5:BG$25)</f>
        <v>67</v>
      </c>
      <c r="U61" s="16" t="n">
        <f aca="false">AVERAGEIF('Echuca Games Against'!$A$5:$A$25,I$5,'Echuca Games Against'!BG$5:BG$25)</f>
        <v>82</v>
      </c>
      <c r="V61" s="16" t="n">
        <f aca="false">AVERAGEIF('Echuca Games Against'!$A$5:$A$25,J$5,'Echuca Games Against'!BG$5:BG$25)</f>
        <v>81</v>
      </c>
      <c r="W61" s="16" t="n">
        <f aca="false">AVERAGEIF('Echuca Games Against'!$A$5:$A$25,K$5,'Echuca Games Against'!BG$5:BG$25)</f>
        <v>79</v>
      </c>
      <c r="X61" s="16" t="n">
        <f aca="false">AVERAGEIF('Echuca Games Against'!$A$5:$A$25,L$5,'Echuca Games Against'!BG$5:BG$25)</f>
        <v>80</v>
      </c>
      <c r="Y61" s="16" t="n">
        <f aca="false">AVERAGEIF('Echuca Games Against'!$A$5:$A$25,M$5,'Echuca Games Against'!BG$5:BG$25)</f>
        <v>80</v>
      </c>
      <c r="Z61" s="16" t="n">
        <f aca="false">AVERAGEIF('Echuca Games Against'!$A$5:$A$25,N$5,'Echuca Games Against'!BG$5:BG$25)</f>
        <v>78.5</v>
      </c>
      <c r="AB61" s="16" t="n">
        <f aca="false">D61-P61</f>
        <v>20</v>
      </c>
      <c r="AC61" s="16" t="n">
        <f aca="false">E61-Q61</f>
        <v>8</v>
      </c>
      <c r="AD61" s="16" t="n">
        <f aca="false">F61-R61</f>
        <v>18</v>
      </c>
      <c r="AE61" s="16" t="n">
        <f aca="false">G61-S61</f>
        <v>-25</v>
      </c>
      <c r="AF61" s="16" t="n">
        <f aca="false">H61-T61</f>
        <v>22</v>
      </c>
      <c r="AG61" s="16" t="n">
        <f aca="false">I61-U61</f>
        <v>-3.5</v>
      </c>
      <c r="AH61" s="16" t="n">
        <f aca="false">J61-V61</f>
        <v>-3</v>
      </c>
      <c r="AI61" s="16" t="n">
        <f aca="false">K61-W61</f>
        <v>3.66666666666667</v>
      </c>
      <c r="AJ61" s="16" t="n">
        <f aca="false">L61-X61</f>
        <v>8</v>
      </c>
      <c r="AK61" s="16" t="n">
        <f aca="false">M61-Y61</f>
        <v>-6</v>
      </c>
      <c r="AL61" s="16" t="n">
        <f aca="false">N61-Z61</f>
        <v>-37</v>
      </c>
    </row>
    <row r="62" customFormat="false" ht="15" hidden="false" customHeight="false" outlineLevel="0" collapsed="false">
      <c r="A62" s="6" t="s">
        <v>109</v>
      </c>
      <c r="B62" s="7" t="s">
        <v>110</v>
      </c>
      <c r="C62" s="38" t="s">
        <v>179</v>
      </c>
      <c r="D62" s="16" t="n">
        <f aca="false">AVERAGEIF('Echuca Games For'!$A$5:$A$25,D$5,'Echuca Games For'!BH$5:BH$25)</f>
        <v>160</v>
      </c>
      <c r="E62" s="16" t="n">
        <f aca="false">AVERAGEIF('Echuca Games For'!$A$5:$A$25,E$5,'Echuca Games For'!BH$5:BH$25)</f>
        <v>166</v>
      </c>
      <c r="F62" s="16" t="n">
        <f aca="false">AVERAGEIF('Echuca Games For'!$A$5:$A$25,F$5,'Echuca Games For'!BH$5:BH$25)</f>
        <v>124.333333333333</v>
      </c>
      <c r="G62" s="16" t="n">
        <f aca="false">AVERAGEIF('Echuca Games For'!$A$5:$A$25,G$5,'Echuca Games For'!BH$5:BH$25)</f>
        <v>133</v>
      </c>
      <c r="H62" s="16" t="n">
        <f aca="false">AVERAGEIF('Echuca Games For'!$A$5:$A$25,H$5,'Echuca Games For'!BH$5:BH$25)</f>
        <v>154</v>
      </c>
      <c r="I62" s="16" t="n">
        <f aca="false">AVERAGEIF('Echuca Games For'!$A$5:$A$25,I$5,'Echuca Games For'!BH$5:BH$25)</f>
        <v>136.5</v>
      </c>
      <c r="J62" s="16" t="n">
        <f aca="false">AVERAGEIF('Echuca Games For'!$A$5:$A$25,J$5,'Echuca Games For'!BH$5:BH$25)</f>
        <v>134.5</v>
      </c>
      <c r="K62" s="16" t="n">
        <f aca="false">AVERAGEIF('Echuca Games For'!$A$5:$A$25,K$5,'Echuca Games For'!BH$5:BH$25)</f>
        <v>128.333333333333</v>
      </c>
      <c r="L62" s="16" t="n">
        <f aca="false">AVERAGEIF('Echuca Games For'!$A$5:$A$25,L$5,'Echuca Games For'!BH$5:BH$25)</f>
        <v>188</v>
      </c>
      <c r="M62" s="16" t="n">
        <f aca="false">AVERAGEIF('Echuca Games For'!$A$5:$A$25,M$5,'Echuca Games For'!BH$5:BH$25)</f>
        <v>147</v>
      </c>
      <c r="N62" s="16" t="n">
        <f aca="false">AVERAGEIF('Echuca Games For'!$A$5:$A$25,N$5,'Echuca Games For'!BH$5:BH$25)</f>
        <v>161</v>
      </c>
      <c r="P62" s="16" t="n">
        <f aca="false">AVERAGEIF('Echuca Games Against'!$A$5:$A$25,D$5,'Echuca Games Against'!BH$5:BH$25)</f>
        <v>120</v>
      </c>
      <c r="Q62" s="16" t="n">
        <f aca="false">AVERAGEIF('Echuca Games Against'!$A$5:$A$25,E$5,'Echuca Games Against'!BH$5:BH$25)</f>
        <v>92</v>
      </c>
      <c r="R62" s="16" t="n">
        <f aca="false">AVERAGEIF('Echuca Games Against'!$A$5:$A$25,F$5,'Echuca Games Against'!BH$5:BH$25)</f>
        <v>130.666666666667</v>
      </c>
      <c r="S62" s="16" t="n">
        <f aca="false">AVERAGEIF('Echuca Games Against'!$A$5:$A$25,G$5,'Echuca Games Against'!BH$5:BH$25)</f>
        <v>81</v>
      </c>
      <c r="T62" s="16" t="n">
        <f aca="false">AVERAGEIF('Echuca Games Against'!$A$5:$A$25,H$5,'Echuca Games Against'!BH$5:BH$25)</f>
        <v>103</v>
      </c>
      <c r="U62" s="16" t="n">
        <f aca="false">AVERAGEIF('Echuca Games Against'!$A$5:$A$25,I$5,'Echuca Games Against'!BH$5:BH$25)</f>
        <v>114</v>
      </c>
      <c r="V62" s="16" t="n">
        <f aca="false">AVERAGEIF('Echuca Games Against'!$A$5:$A$25,J$5,'Echuca Games Against'!BH$5:BH$25)</f>
        <v>139</v>
      </c>
      <c r="W62" s="16" t="n">
        <f aca="false">AVERAGEIF('Echuca Games Against'!$A$5:$A$25,K$5,'Echuca Games Against'!BH$5:BH$25)</f>
        <v>103.666666666667</v>
      </c>
      <c r="X62" s="16" t="n">
        <f aca="false">AVERAGEIF('Echuca Games Against'!$A$5:$A$25,L$5,'Echuca Games Against'!BH$5:BH$25)</f>
        <v>122</v>
      </c>
      <c r="Y62" s="16" t="n">
        <f aca="false">AVERAGEIF('Echuca Games Against'!$A$5:$A$25,M$5,'Echuca Games Against'!BH$5:BH$25)</f>
        <v>124.5</v>
      </c>
      <c r="Z62" s="16" t="n">
        <f aca="false">AVERAGEIF('Echuca Games Against'!$A$5:$A$25,N$5,'Echuca Games Against'!BH$5:BH$25)</f>
        <v>148</v>
      </c>
      <c r="AB62" s="16" t="n">
        <f aca="false">D62-P62</f>
        <v>40</v>
      </c>
      <c r="AC62" s="16" t="n">
        <f aca="false">E62-Q62</f>
        <v>74</v>
      </c>
      <c r="AD62" s="16" t="n">
        <f aca="false">F62-R62</f>
        <v>-6.33333333333333</v>
      </c>
      <c r="AE62" s="16" t="n">
        <f aca="false">G62-S62</f>
        <v>52</v>
      </c>
      <c r="AF62" s="16" t="n">
        <f aca="false">H62-T62</f>
        <v>51</v>
      </c>
      <c r="AG62" s="16" t="n">
        <f aca="false">I62-U62</f>
        <v>22.5</v>
      </c>
      <c r="AH62" s="16" t="n">
        <f aca="false">J62-V62</f>
        <v>-4.5</v>
      </c>
      <c r="AI62" s="16" t="n">
        <f aca="false">K62-W62</f>
        <v>24.6666666666667</v>
      </c>
      <c r="AJ62" s="16" t="n">
        <f aca="false">L62-X62</f>
        <v>66</v>
      </c>
      <c r="AK62" s="16" t="n">
        <f aca="false">M62-Y62</f>
        <v>22.5</v>
      </c>
      <c r="AL62" s="16" t="n">
        <f aca="false">N62-Z62</f>
        <v>13</v>
      </c>
    </row>
    <row r="63" customFormat="false" ht="15" hidden="false" customHeight="false" outlineLevel="0" collapsed="false">
      <c r="A63" s="6" t="s">
        <v>89</v>
      </c>
      <c r="B63" s="7" t="s">
        <v>90</v>
      </c>
      <c r="C63" s="38" t="s">
        <v>179</v>
      </c>
      <c r="D63" s="16" t="n">
        <f aca="false">AVERAGEIF('Echuca Games For'!$A$5:$A$25,D$5,'Echuca Games For'!BI$5:BI$25)</f>
        <v>109.5</v>
      </c>
      <c r="E63" s="16" t="n">
        <f aca="false">AVERAGEIF('Echuca Games For'!$A$5:$A$25,E$5,'Echuca Games For'!BI$5:BI$25)</f>
        <v>152</v>
      </c>
      <c r="F63" s="16" t="n">
        <f aca="false">AVERAGEIF('Echuca Games For'!$A$5:$A$25,F$5,'Echuca Games For'!BI$5:BI$25)</f>
        <v>101</v>
      </c>
      <c r="G63" s="16" t="n">
        <f aca="false">AVERAGEIF('Echuca Games For'!$A$5:$A$25,G$5,'Echuca Games For'!BI$5:BI$25)</f>
        <v>108</v>
      </c>
      <c r="H63" s="16" t="n">
        <f aca="false">AVERAGEIF('Echuca Games For'!$A$5:$A$25,H$5,'Echuca Games For'!BI$5:BI$25)</f>
        <v>98</v>
      </c>
      <c r="I63" s="16" t="n">
        <f aca="false">AVERAGEIF('Echuca Games For'!$A$5:$A$25,I$5,'Echuca Games For'!BI$5:BI$25)</f>
        <v>97.5</v>
      </c>
      <c r="J63" s="16" t="n">
        <f aca="false">AVERAGEIF('Echuca Games For'!$A$5:$A$25,J$5,'Echuca Games For'!BI$5:BI$25)</f>
        <v>106.5</v>
      </c>
      <c r="K63" s="16" t="n">
        <f aca="false">AVERAGEIF('Echuca Games For'!$A$5:$A$25,K$5,'Echuca Games For'!BI$5:BI$25)</f>
        <v>111.333333333333</v>
      </c>
      <c r="L63" s="16" t="n">
        <f aca="false">AVERAGEIF('Echuca Games For'!$A$5:$A$25,L$5,'Echuca Games For'!BI$5:BI$25)</f>
        <v>152</v>
      </c>
      <c r="M63" s="16" t="n">
        <f aca="false">AVERAGEIF('Echuca Games For'!$A$5:$A$25,M$5,'Echuca Games For'!BI$5:BI$25)</f>
        <v>123</v>
      </c>
      <c r="N63" s="16" t="n">
        <f aca="false">AVERAGEIF('Echuca Games For'!$A$5:$A$25,N$5,'Echuca Games For'!BI$5:BI$25)</f>
        <v>134.5</v>
      </c>
      <c r="P63" s="16" t="n">
        <f aca="false">AVERAGEIF('Echuca Games Against'!$A$5:$A$25,D$5,'Echuca Games Against'!BI$5:BI$25)</f>
        <v>76.5</v>
      </c>
      <c r="Q63" s="16" t="n">
        <f aca="false">AVERAGEIF('Echuca Games Against'!$A$5:$A$25,E$5,'Echuca Games Against'!BI$5:BI$25)</f>
        <v>83</v>
      </c>
      <c r="R63" s="16" t="n">
        <f aca="false">AVERAGEIF('Echuca Games Against'!$A$5:$A$25,F$5,'Echuca Games Against'!BI$5:BI$25)</f>
        <v>91.6666666666667</v>
      </c>
      <c r="S63" s="16" t="n">
        <f aca="false">AVERAGEIF('Echuca Games Against'!$A$5:$A$25,G$5,'Echuca Games Against'!BI$5:BI$25)</f>
        <v>82</v>
      </c>
      <c r="T63" s="16" t="n">
        <f aca="false">AVERAGEIF('Echuca Games Against'!$A$5:$A$25,H$5,'Echuca Games Against'!BI$5:BI$25)</f>
        <v>114</v>
      </c>
      <c r="U63" s="16" t="n">
        <f aca="false">AVERAGEIF('Echuca Games Against'!$A$5:$A$25,I$5,'Echuca Games Against'!BI$5:BI$25)</f>
        <v>116</v>
      </c>
      <c r="V63" s="16" t="n">
        <f aca="false">AVERAGEIF('Echuca Games Against'!$A$5:$A$25,J$5,'Echuca Games Against'!BI$5:BI$25)</f>
        <v>98.5</v>
      </c>
      <c r="W63" s="16" t="n">
        <f aca="false">AVERAGEIF('Echuca Games Against'!$A$5:$A$25,K$5,'Echuca Games Against'!BI$5:BI$25)</f>
        <v>86.6666666666667</v>
      </c>
      <c r="X63" s="16" t="n">
        <f aca="false">AVERAGEIF('Echuca Games Against'!$A$5:$A$25,L$5,'Echuca Games Against'!BI$5:BI$25)</f>
        <v>95</v>
      </c>
      <c r="Y63" s="16" t="n">
        <f aca="false">AVERAGEIF('Echuca Games Against'!$A$5:$A$25,M$5,'Echuca Games Against'!BI$5:BI$25)</f>
        <v>87.5</v>
      </c>
      <c r="Z63" s="16" t="n">
        <f aca="false">AVERAGEIF('Echuca Games Against'!$A$5:$A$25,N$5,'Echuca Games Against'!BI$5:BI$25)</f>
        <v>81</v>
      </c>
      <c r="AB63" s="16" t="n">
        <f aca="false">D63-P63</f>
        <v>33</v>
      </c>
      <c r="AC63" s="16" t="n">
        <f aca="false">E63-Q63</f>
        <v>69</v>
      </c>
      <c r="AD63" s="16" t="n">
        <f aca="false">F63-R63</f>
        <v>9.33333333333333</v>
      </c>
      <c r="AE63" s="16" t="n">
        <f aca="false">G63-S63</f>
        <v>26</v>
      </c>
      <c r="AF63" s="16" t="n">
        <f aca="false">H63-T63</f>
        <v>-16</v>
      </c>
      <c r="AG63" s="16" t="n">
        <f aca="false">I63-U63</f>
        <v>-18.5</v>
      </c>
      <c r="AH63" s="16" t="n">
        <f aca="false">J63-V63</f>
        <v>8</v>
      </c>
      <c r="AI63" s="16" t="n">
        <f aca="false">K63-W63</f>
        <v>24.6666666666667</v>
      </c>
      <c r="AJ63" s="16" t="n">
        <f aca="false">L63-X63</f>
        <v>57</v>
      </c>
      <c r="AK63" s="16" t="n">
        <f aca="false">M63-Y63</f>
        <v>35.5</v>
      </c>
      <c r="AL63" s="16" t="n">
        <f aca="false">N63-Z63</f>
        <v>53.5</v>
      </c>
    </row>
    <row r="64" customFormat="false" ht="15" hidden="false" customHeight="false" outlineLevel="0" collapsed="false">
      <c r="A64" s="6" t="s">
        <v>59</v>
      </c>
      <c r="B64" s="7" t="s">
        <v>60</v>
      </c>
      <c r="C64" s="38" t="s">
        <v>179</v>
      </c>
      <c r="D64" s="16" t="n">
        <f aca="false">AVERAGEIF('Echuca Games For'!$A$5:$A$25,D$5,'Echuca Games For'!BJ$5:BJ$25)</f>
        <v>269.5</v>
      </c>
      <c r="E64" s="16" t="n">
        <f aca="false">AVERAGEIF('Echuca Games For'!$A$5:$A$25,E$5,'Echuca Games For'!BJ$5:BJ$25)</f>
        <v>318</v>
      </c>
      <c r="F64" s="16" t="n">
        <f aca="false">AVERAGEIF('Echuca Games For'!$A$5:$A$25,F$5,'Echuca Games For'!BJ$5:BJ$25)</f>
        <v>225.333333333333</v>
      </c>
      <c r="G64" s="16" t="n">
        <f aca="false">AVERAGEIF('Echuca Games For'!$A$5:$A$25,G$5,'Echuca Games For'!BJ$5:BJ$25)</f>
        <v>241</v>
      </c>
      <c r="H64" s="16" t="n">
        <f aca="false">AVERAGEIF('Echuca Games For'!$A$5:$A$25,H$5,'Echuca Games For'!BJ$5:BJ$25)</f>
        <v>252</v>
      </c>
      <c r="I64" s="16" t="n">
        <f aca="false">AVERAGEIF('Echuca Games For'!$A$5:$A$25,I$5,'Echuca Games For'!BJ$5:BJ$25)</f>
        <v>234</v>
      </c>
      <c r="J64" s="16" t="n">
        <f aca="false">AVERAGEIF('Echuca Games For'!$A$5:$A$25,J$5,'Echuca Games For'!BJ$5:BJ$25)</f>
        <v>241</v>
      </c>
      <c r="K64" s="16" t="n">
        <f aca="false">AVERAGEIF('Echuca Games For'!$A$5:$A$25,K$5,'Echuca Games For'!BJ$5:BJ$25)</f>
        <v>239.666666666667</v>
      </c>
      <c r="L64" s="16" t="n">
        <f aca="false">AVERAGEIF('Echuca Games For'!$A$5:$A$25,L$5,'Echuca Games For'!BJ$5:BJ$25)</f>
        <v>340</v>
      </c>
      <c r="M64" s="16" t="n">
        <f aca="false">AVERAGEIF('Echuca Games For'!$A$5:$A$25,M$5,'Echuca Games For'!BJ$5:BJ$25)</f>
        <v>270</v>
      </c>
      <c r="N64" s="16" t="n">
        <f aca="false">AVERAGEIF('Echuca Games For'!$A$5:$A$25,N$5,'Echuca Games For'!BJ$5:BJ$25)</f>
        <v>295.5</v>
      </c>
      <c r="P64" s="16" t="n">
        <f aca="false">AVERAGEIF('Echuca Games Against'!$A$5:$A$25,D$5,'Echuca Games Against'!BJ$5:BJ$25)</f>
        <v>196.5</v>
      </c>
      <c r="Q64" s="16" t="n">
        <f aca="false">AVERAGEIF('Echuca Games Against'!$A$5:$A$25,E$5,'Echuca Games Against'!BJ$5:BJ$25)</f>
        <v>175</v>
      </c>
      <c r="R64" s="16" t="n">
        <f aca="false">AVERAGEIF('Echuca Games Against'!$A$5:$A$25,F$5,'Echuca Games Against'!BJ$5:BJ$25)</f>
        <v>222.333333333333</v>
      </c>
      <c r="S64" s="16" t="n">
        <f aca="false">AVERAGEIF('Echuca Games Against'!$A$5:$A$25,G$5,'Echuca Games Against'!BJ$5:BJ$25)</f>
        <v>163</v>
      </c>
      <c r="T64" s="16" t="n">
        <f aca="false">AVERAGEIF('Echuca Games Against'!$A$5:$A$25,H$5,'Echuca Games Against'!BJ$5:BJ$25)</f>
        <v>217</v>
      </c>
      <c r="U64" s="16" t="n">
        <f aca="false">AVERAGEIF('Echuca Games Against'!$A$5:$A$25,I$5,'Echuca Games Against'!BJ$5:BJ$25)</f>
        <v>230</v>
      </c>
      <c r="V64" s="16" t="n">
        <f aca="false">AVERAGEIF('Echuca Games Against'!$A$5:$A$25,J$5,'Echuca Games Against'!BJ$5:BJ$25)</f>
        <v>237.5</v>
      </c>
      <c r="W64" s="16" t="n">
        <f aca="false">AVERAGEIF('Echuca Games Against'!$A$5:$A$25,K$5,'Echuca Games Against'!BJ$5:BJ$25)</f>
        <v>190.333333333333</v>
      </c>
      <c r="X64" s="16" t="n">
        <f aca="false">AVERAGEIF('Echuca Games Against'!$A$5:$A$25,L$5,'Echuca Games Against'!BJ$5:BJ$25)</f>
        <v>217</v>
      </c>
      <c r="Y64" s="16" t="n">
        <f aca="false">AVERAGEIF('Echuca Games Against'!$A$5:$A$25,M$5,'Echuca Games Against'!BJ$5:BJ$25)</f>
        <v>212</v>
      </c>
      <c r="Z64" s="16" t="n">
        <f aca="false">AVERAGEIF('Echuca Games Against'!$A$5:$A$25,N$5,'Echuca Games Against'!BJ$5:BJ$25)</f>
        <v>229</v>
      </c>
      <c r="AB64" s="16" t="n">
        <f aca="false">D64-P64</f>
        <v>73</v>
      </c>
      <c r="AC64" s="16" t="n">
        <f aca="false">E64-Q64</f>
        <v>143</v>
      </c>
      <c r="AD64" s="16" t="n">
        <f aca="false">F64-R64</f>
        <v>3</v>
      </c>
      <c r="AE64" s="16" t="n">
        <f aca="false">G64-S64</f>
        <v>78</v>
      </c>
      <c r="AF64" s="16" t="n">
        <f aca="false">H64-T64</f>
        <v>35</v>
      </c>
      <c r="AG64" s="16" t="n">
        <f aca="false">I64-U64</f>
        <v>4</v>
      </c>
      <c r="AH64" s="16" t="n">
        <f aca="false">J64-V64</f>
        <v>3.5</v>
      </c>
      <c r="AI64" s="16" t="n">
        <f aca="false">K64-W64</f>
        <v>49.3333333333333</v>
      </c>
      <c r="AJ64" s="16" t="n">
        <f aca="false">L64-X64</f>
        <v>123</v>
      </c>
      <c r="AK64" s="16" t="n">
        <f aca="false">M64-Y64</f>
        <v>58</v>
      </c>
      <c r="AL64" s="16" t="n">
        <f aca="false">N64-Z64</f>
        <v>66.5</v>
      </c>
    </row>
    <row r="65" customFormat="false" ht="15" hidden="false" customHeight="false" outlineLevel="0" collapsed="false">
      <c r="A65" s="6" t="s">
        <v>61</v>
      </c>
      <c r="B65" s="7" t="s">
        <v>62</v>
      </c>
      <c r="C65" s="38" t="s">
        <v>179</v>
      </c>
      <c r="D65" s="16" t="n">
        <f aca="false">AVERAGEIF('Echuca Games For'!$A$5:$A$25,D$5,'Echuca Games For'!BK$5:BK$25)</f>
        <v>26.5</v>
      </c>
      <c r="E65" s="16" t="n">
        <f aca="false">AVERAGEIF('Echuca Games For'!$A$5:$A$25,E$5,'Echuca Games For'!BK$5:BK$25)</f>
        <v>25</v>
      </c>
      <c r="F65" s="16" t="n">
        <f aca="false">AVERAGEIF('Echuca Games For'!$A$5:$A$25,F$5,'Echuca Games For'!BK$5:BK$25)</f>
        <v>24.6666666666667</v>
      </c>
      <c r="G65" s="16" t="n">
        <f aca="false">AVERAGEIF('Echuca Games For'!$A$5:$A$25,G$5,'Echuca Games For'!BK$5:BK$25)</f>
        <v>32</v>
      </c>
      <c r="H65" s="16" t="n">
        <f aca="false">AVERAGEIF('Echuca Games For'!$A$5:$A$25,H$5,'Echuca Games For'!BK$5:BK$25)</f>
        <v>25.5</v>
      </c>
      <c r="I65" s="16" t="n">
        <f aca="false">AVERAGEIF('Echuca Games For'!$A$5:$A$25,I$5,'Echuca Games For'!BK$5:BK$25)</f>
        <v>27.5</v>
      </c>
      <c r="J65" s="16" t="n">
        <f aca="false">AVERAGEIF('Echuca Games For'!$A$5:$A$25,J$5,'Echuca Games For'!BK$5:BK$25)</f>
        <v>25.5</v>
      </c>
      <c r="K65" s="16" t="n">
        <f aca="false">AVERAGEIF('Echuca Games For'!$A$5:$A$25,K$5,'Echuca Games For'!BK$5:BK$25)</f>
        <v>26.6666666666667</v>
      </c>
      <c r="L65" s="16" t="n">
        <f aca="false">AVERAGEIF('Echuca Games For'!$A$5:$A$25,L$5,'Echuca Games For'!BK$5:BK$25)</f>
        <v>23</v>
      </c>
      <c r="M65" s="16" t="n">
        <f aca="false">AVERAGEIF('Echuca Games For'!$A$5:$A$25,M$5,'Echuca Games For'!BK$5:BK$25)</f>
        <v>36.5</v>
      </c>
      <c r="N65" s="16" t="n">
        <f aca="false">AVERAGEIF('Echuca Games For'!$A$5:$A$25,N$5,'Echuca Games For'!BK$5:BK$25)</f>
        <v>35.5</v>
      </c>
      <c r="P65" s="16" t="n">
        <f aca="false">AVERAGEIF('Echuca Games Against'!$A$5:$A$25,D$5,'Echuca Games Against'!BK$5:BK$25)</f>
        <v>23</v>
      </c>
      <c r="Q65" s="16" t="n">
        <f aca="false">AVERAGEIF('Echuca Games Against'!$A$5:$A$25,E$5,'Echuca Games Against'!BK$5:BK$25)</f>
        <v>25</v>
      </c>
      <c r="R65" s="16" t="n">
        <f aca="false">AVERAGEIF('Echuca Games Against'!$A$5:$A$25,F$5,'Echuca Games Against'!BK$5:BK$25)</f>
        <v>25.3333333333333</v>
      </c>
      <c r="S65" s="16" t="n">
        <f aca="false">AVERAGEIF('Echuca Games Against'!$A$5:$A$25,G$5,'Echuca Games Against'!BK$5:BK$25)</f>
        <v>35</v>
      </c>
      <c r="T65" s="16" t="n">
        <f aca="false">AVERAGEIF('Echuca Games Against'!$A$5:$A$25,H$5,'Echuca Games Against'!BK$5:BK$25)</f>
        <v>34</v>
      </c>
      <c r="U65" s="16" t="n">
        <f aca="false">AVERAGEIF('Echuca Games Against'!$A$5:$A$25,I$5,'Echuca Games Against'!BK$5:BK$25)</f>
        <v>31</v>
      </c>
      <c r="V65" s="16" t="n">
        <f aca="false">AVERAGEIF('Echuca Games Against'!$A$5:$A$25,J$5,'Echuca Games Against'!BK$5:BK$25)</f>
        <v>25</v>
      </c>
      <c r="W65" s="16" t="n">
        <f aca="false">AVERAGEIF('Echuca Games Against'!$A$5:$A$25,K$5,'Echuca Games Against'!BK$5:BK$25)</f>
        <v>23.6666666666667</v>
      </c>
      <c r="X65" s="16" t="n">
        <f aca="false">AVERAGEIF('Echuca Games Against'!$A$5:$A$25,L$5,'Echuca Games Against'!BK$5:BK$25)</f>
        <v>22</v>
      </c>
      <c r="Y65" s="16" t="n">
        <f aca="false">AVERAGEIF('Echuca Games Against'!$A$5:$A$25,M$5,'Echuca Games Against'!BK$5:BK$25)</f>
        <v>22</v>
      </c>
      <c r="Z65" s="16" t="n">
        <f aca="false">AVERAGEIF('Echuca Games Against'!$A$5:$A$25,N$5,'Echuca Games Against'!BK$5:BK$25)</f>
        <v>18</v>
      </c>
      <c r="AB65" s="16" t="n">
        <f aca="false">D65-P65</f>
        <v>3.5</v>
      </c>
      <c r="AC65" s="16" t="n">
        <f aca="false">E65-Q65</f>
        <v>0</v>
      </c>
      <c r="AD65" s="16" t="n">
        <f aca="false">F65-R65</f>
        <v>-0.666666666666664</v>
      </c>
      <c r="AE65" s="16" t="n">
        <f aca="false">G65-S65</f>
        <v>-3</v>
      </c>
      <c r="AF65" s="16" t="n">
        <f aca="false">H65-T65</f>
        <v>-8.5</v>
      </c>
      <c r="AG65" s="16" t="n">
        <f aca="false">I65-U65</f>
        <v>-3.5</v>
      </c>
      <c r="AH65" s="16" t="n">
        <f aca="false">J65-V65</f>
        <v>0.5</v>
      </c>
      <c r="AI65" s="16" t="n">
        <f aca="false">K65-W65</f>
        <v>3</v>
      </c>
      <c r="AJ65" s="16" t="n">
        <f aca="false">L65-X65</f>
        <v>1</v>
      </c>
      <c r="AK65" s="16" t="n">
        <f aca="false">M65-Y65</f>
        <v>14.5</v>
      </c>
      <c r="AL65" s="16" t="n">
        <f aca="false">N65-Z65</f>
        <v>17.5</v>
      </c>
    </row>
    <row r="66" customFormat="false" ht="15" hidden="false" customHeight="false" outlineLevel="0" collapsed="false">
      <c r="A66" s="6" t="s">
        <v>63</v>
      </c>
      <c r="B66" s="7" t="s">
        <v>64</v>
      </c>
      <c r="C66" s="38" t="s">
        <v>179</v>
      </c>
      <c r="D66" s="16" t="n">
        <f aca="false">AVERAGEIF('Echuca Games For'!$A$5:$A$25,D$5,'Echuca Games For'!BL$5:BL$25)</f>
        <v>20</v>
      </c>
      <c r="E66" s="16" t="n">
        <f aca="false">AVERAGEIF('Echuca Games For'!$A$5:$A$25,E$5,'Echuca Games For'!BL$5:BL$25)</f>
        <v>17</v>
      </c>
      <c r="F66" s="16" t="n">
        <f aca="false">AVERAGEIF('Echuca Games For'!$A$5:$A$25,F$5,'Echuca Games For'!BL$5:BL$25)</f>
        <v>23.3333333333333</v>
      </c>
      <c r="G66" s="16" t="n">
        <f aca="false">AVERAGEIF('Echuca Games For'!$A$5:$A$25,G$5,'Echuca Games For'!BL$5:BL$25)</f>
        <v>24</v>
      </c>
      <c r="H66" s="16" t="n">
        <f aca="false">AVERAGEIF('Echuca Games For'!$A$5:$A$25,H$5,'Echuca Games For'!BL$5:BL$25)</f>
        <v>22</v>
      </c>
      <c r="I66" s="16" t="n">
        <f aca="false">AVERAGEIF('Echuca Games For'!$A$5:$A$25,I$5,'Echuca Games For'!BL$5:BL$25)</f>
        <v>24</v>
      </c>
      <c r="J66" s="16" t="n">
        <f aca="false">AVERAGEIF('Echuca Games For'!$A$5:$A$25,J$5,'Echuca Games For'!BL$5:BL$25)</f>
        <v>25.5</v>
      </c>
      <c r="K66" s="16" t="n">
        <f aca="false">AVERAGEIF('Echuca Games For'!$A$5:$A$25,K$5,'Echuca Games For'!BL$5:BL$25)</f>
        <v>24.3333333333333</v>
      </c>
      <c r="L66" s="16" t="n">
        <f aca="false">AVERAGEIF('Echuca Games For'!$A$5:$A$25,L$5,'Echuca Games For'!BL$5:BL$25)</f>
        <v>15</v>
      </c>
      <c r="M66" s="16" t="n">
        <f aca="false">AVERAGEIF('Echuca Games For'!$A$5:$A$25,M$5,'Echuca Games For'!BL$5:BL$25)</f>
        <v>19</v>
      </c>
      <c r="N66" s="16" t="n">
        <f aca="false">AVERAGEIF('Echuca Games For'!$A$5:$A$25,N$5,'Echuca Games For'!BL$5:BL$25)</f>
        <v>13</v>
      </c>
      <c r="P66" s="16" t="n">
        <f aca="false">AVERAGEIF('Echuca Games Against'!$A$5:$A$25,D$5,'Echuca Games Against'!BL$5:BL$25)</f>
        <v>26</v>
      </c>
      <c r="Q66" s="16" t="n">
        <f aca="false">AVERAGEIF('Echuca Games Against'!$A$5:$A$25,E$5,'Echuca Games Against'!BL$5:BL$25)</f>
        <v>26</v>
      </c>
      <c r="R66" s="16" t="n">
        <f aca="false">AVERAGEIF('Echuca Games Against'!$A$5:$A$25,F$5,'Echuca Games Against'!BL$5:BL$25)</f>
        <v>19.6666666666667</v>
      </c>
      <c r="S66" s="16" t="n">
        <f aca="false">AVERAGEIF('Echuca Games Against'!$A$5:$A$25,G$5,'Echuca Games Against'!BL$5:BL$25)</f>
        <v>19</v>
      </c>
      <c r="T66" s="16" t="n">
        <f aca="false">AVERAGEIF('Echuca Games Against'!$A$5:$A$25,H$5,'Echuca Games Against'!BL$5:BL$25)</f>
        <v>26</v>
      </c>
      <c r="U66" s="16" t="n">
        <f aca="false">AVERAGEIF('Echuca Games Against'!$A$5:$A$25,I$5,'Echuca Games Against'!BL$5:BL$25)</f>
        <v>22.5</v>
      </c>
      <c r="V66" s="16" t="n">
        <f aca="false">AVERAGEIF('Echuca Games Against'!$A$5:$A$25,J$5,'Echuca Games Against'!BL$5:BL$25)</f>
        <v>23</v>
      </c>
      <c r="W66" s="16" t="n">
        <f aca="false">AVERAGEIF('Echuca Games Against'!$A$5:$A$25,K$5,'Echuca Games Against'!BL$5:BL$25)</f>
        <v>19.6666666666667</v>
      </c>
      <c r="X66" s="16" t="n">
        <f aca="false">AVERAGEIF('Echuca Games Against'!$A$5:$A$25,L$5,'Echuca Games Against'!BL$5:BL$25)</f>
        <v>29</v>
      </c>
      <c r="Y66" s="16" t="n">
        <f aca="false">AVERAGEIF('Echuca Games Against'!$A$5:$A$25,M$5,'Echuca Games Against'!BL$5:BL$25)</f>
        <v>15.5</v>
      </c>
      <c r="Z66" s="16" t="n">
        <f aca="false">AVERAGEIF('Echuca Games Against'!$A$5:$A$25,N$5,'Echuca Games Against'!BL$5:BL$25)</f>
        <v>23</v>
      </c>
      <c r="AB66" s="16" t="n">
        <f aca="false">D66-P66</f>
        <v>-6</v>
      </c>
      <c r="AC66" s="16" t="n">
        <f aca="false">E66-Q66</f>
        <v>-9</v>
      </c>
      <c r="AD66" s="16" t="n">
        <f aca="false">F66-R66</f>
        <v>3.66666666666666</v>
      </c>
      <c r="AE66" s="16" t="n">
        <f aca="false">G66-S66</f>
        <v>5</v>
      </c>
      <c r="AF66" s="16" t="n">
        <f aca="false">H66-T66</f>
        <v>-4</v>
      </c>
      <c r="AG66" s="16" t="n">
        <f aca="false">I66-U66</f>
        <v>1.5</v>
      </c>
      <c r="AH66" s="16" t="n">
        <f aca="false">J66-V66</f>
        <v>2.5</v>
      </c>
      <c r="AI66" s="16" t="n">
        <f aca="false">K66-W66</f>
        <v>4.66666666666666</v>
      </c>
      <c r="AJ66" s="16" t="n">
        <f aca="false">L66-X66</f>
        <v>-14</v>
      </c>
      <c r="AK66" s="16" t="n">
        <f aca="false">M66-Y66</f>
        <v>3.5</v>
      </c>
      <c r="AL66" s="16" t="n">
        <f aca="false">N66-Z66</f>
        <v>-10</v>
      </c>
    </row>
  </sheetData>
  <conditionalFormatting sqref="AB7:AL66">
    <cfRule type="expression" priority="2" aboveAverage="0" equalAverage="0" bottom="0" percent="0" rank="0" text="" dxfId="44">
      <formula>AND($C7="Y",AB7&gt;0)</formula>
    </cfRule>
    <cfRule type="expression" priority="3" aboveAverage="0" equalAverage="0" bottom="0" percent="0" rank="0" text="" dxfId="45">
      <formula>AND($C7="Y",AB7&lt;0)</formula>
    </cfRule>
    <cfRule type="expression" priority="4" aboveAverage="0" equalAverage="0" bottom="0" percent="0" rank="0" text="" dxfId="44">
      <formula>AND($C7="N",AB7&lt;0)</formula>
    </cfRule>
    <cfRule type="expression" priority="5" aboveAverage="0" equalAverage="0" bottom="0" percent="0" rank="0" text="" dxfId="45">
      <formula>AND($C7="N",AB7&gt;0)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J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9" min="4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8" t="s">
        <v>232</v>
      </c>
    </row>
    <row r="4" customFormat="false" ht="45" hidden="false" customHeight="true" outlineLevel="0" collapsed="false">
      <c r="A4" s="2" t="s">
        <v>233</v>
      </c>
      <c r="B4" s="2" t="s">
        <v>167</v>
      </c>
      <c r="C4" s="2" t="s">
        <v>169</v>
      </c>
      <c r="D4" s="2" t="s">
        <v>234</v>
      </c>
      <c r="E4" s="2" t="s">
        <v>235</v>
      </c>
      <c r="F4" s="2" t="s">
        <v>236</v>
      </c>
      <c r="G4" s="2" t="s">
        <v>237</v>
      </c>
      <c r="H4" s="2" t="s">
        <v>238</v>
      </c>
      <c r="I4" s="2" t="s">
        <v>239</v>
      </c>
      <c r="J4" s="2" t="s">
        <v>240</v>
      </c>
    </row>
    <row r="5" customFormat="false" ht="15" hidden="false" customHeight="false" outlineLevel="0" collapsed="false">
      <c r="A5" s="12" t="s">
        <v>241</v>
      </c>
      <c r="B5" s="12" t="s">
        <v>242</v>
      </c>
      <c r="C5" s="13" t="s">
        <v>180</v>
      </c>
      <c r="D5" s="14" t="n">
        <v>5</v>
      </c>
      <c r="E5" s="14" t="n">
        <v>5.6</v>
      </c>
      <c r="F5" s="14" t="n">
        <f aca="false">D5-E5</f>
        <v>-0.6</v>
      </c>
      <c r="G5" s="15" t="n">
        <v>4.7</v>
      </c>
      <c r="H5" s="15" t="n">
        <v>5.8</v>
      </c>
      <c r="I5" s="15" t="n">
        <f aca="false">G5-H5</f>
        <v>-1.1</v>
      </c>
      <c r="J5" s="16" t="n">
        <f aca="false">IF(C5="?","",IF(C5="N",-1,1)*(I5-F5))</f>
        <v>0.5</v>
      </c>
    </row>
    <row r="6" customFormat="false" ht="15" hidden="false" customHeight="false" outlineLevel="0" collapsed="false">
      <c r="A6" s="12" t="s">
        <v>241</v>
      </c>
      <c r="B6" s="12" t="s">
        <v>243</v>
      </c>
      <c r="C6" s="13" t="s">
        <v>179</v>
      </c>
      <c r="D6" s="14" t="n">
        <v>20.1</v>
      </c>
      <c r="E6" s="14" t="n">
        <v>19.2</v>
      </c>
      <c r="F6" s="14" t="n">
        <f aca="false">D6-E6</f>
        <v>0.900000000000002</v>
      </c>
      <c r="G6" s="15" t="n">
        <v>20.1</v>
      </c>
      <c r="H6" s="15" t="n">
        <v>18.3</v>
      </c>
      <c r="I6" s="15" t="n">
        <f aca="false">G6-H6</f>
        <v>1.8</v>
      </c>
      <c r="J6" s="16" t="n">
        <f aca="false">IF(C6="?","",IF(C6="N",-1,1)*(I6-F6))</f>
        <v>0.899999999999999</v>
      </c>
    </row>
    <row r="7" customFormat="false" ht="15" hidden="false" customHeight="false" outlineLevel="0" collapsed="false">
      <c r="A7" s="12" t="s">
        <v>241</v>
      </c>
      <c r="B7" s="12" t="s">
        <v>34</v>
      </c>
      <c r="C7" s="13" t="s">
        <v>181</v>
      </c>
      <c r="D7" s="14" t="n">
        <v>9.1</v>
      </c>
      <c r="E7" s="14" t="n">
        <v>7.9</v>
      </c>
      <c r="F7" s="14" t="n">
        <f aca="false">D7-E7</f>
        <v>1.2</v>
      </c>
      <c r="G7" s="15" t="n">
        <v>11.7</v>
      </c>
      <c r="H7" s="15" t="n">
        <v>6.6</v>
      </c>
      <c r="I7" s="15" t="n">
        <f aca="false">G7-H7</f>
        <v>5.1</v>
      </c>
      <c r="J7" s="16" t="str">
        <f aca="false">IF(C7="?","",IF(C7="N",-1,1)*(I7-F7))</f>
        <v/>
      </c>
    </row>
    <row r="8" customFormat="false" ht="15" hidden="false" customHeight="false" outlineLevel="0" collapsed="false">
      <c r="A8" s="12" t="s">
        <v>241</v>
      </c>
      <c r="B8" s="12" t="s">
        <v>244</v>
      </c>
      <c r="C8" s="13" t="s">
        <v>179</v>
      </c>
      <c r="D8" s="14" t="n">
        <v>10</v>
      </c>
      <c r="E8" s="14" t="n">
        <v>10.3</v>
      </c>
      <c r="F8" s="14" t="n">
        <f aca="false">D8-E8</f>
        <v>-0.300000000000001</v>
      </c>
      <c r="G8" s="15" t="n">
        <v>10.8</v>
      </c>
      <c r="H8" s="15" t="n">
        <v>11.1</v>
      </c>
      <c r="I8" s="15" t="n">
        <f aca="false">G8-H8</f>
        <v>-0.299999999999999</v>
      </c>
      <c r="J8" s="16" t="n">
        <f aca="false">IF(C8="?","",IF(C8="N",-1,1)*(I8-F8))</f>
        <v>1.77635683940025E-015</v>
      </c>
    </row>
    <row r="9" customFormat="false" ht="15" hidden="false" customHeight="false" outlineLevel="0" collapsed="false">
      <c r="A9" s="12" t="s">
        <v>241</v>
      </c>
      <c r="B9" s="12" t="s">
        <v>52</v>
      </c>
      <c r="C9" s="13" t="s">
        <v>179</v>
      </c>
      <c r="D9" s="14" t="n">
        <v>12.7</v>
      </c>
      <c r="E9" s="14" t="n">
        <v>13.4</v>
      </c>
      <c r="F9" s="14" t="n">
        <f aca="false">D9-E9</f>
        <v>-0.700000000000001</v>
      </c>
      <c r="G9" s="15" t="n">
        <v>10.8</v>
      </c>
      <c r="H9" s="15" t="n">
        <v>9.3</v>
      </c>
      <c r="I9" s="15" t="n">
        <f aca="false">G9-H9</f>
        <v>1.5</v>
      </c>
      <c r="J9" s="16" t="n">
        <f aca="false">IF(C9="?","",IF(C9="N",-1,1)*(I9-F9))</f>
        <v>2.2</v>
      </c>
    </row>
    <row r="10" customFormat="false" ht="15" hidden="false" customHeight="false" outlineLevel="0" collapsed="false">
      <c r="A10" s="12" t="s">
        <v>241</v>
      </c>
      <c r="B10" s="12" t="s">
        <v>54</v>
      </c>
      <c r="C10" s="13" t="s">
        <v>179</v>
      </c>
      <c r="D10" s="14" t="n">
        <v>41.8</v>
      </c>
      <c r="E10" s="14" t="n">
        <v>41.6</v>
      </c>
      <c r="F10" s="14" t="n">
        <f aca="false">D10-E10</f>
        <v>0.199999999999996</v>
      </c>
      <c r="G10" s="15" t="n">
        <v>43.6</v>
      </c>
      <c r="H10" s="15" t="n">
        <v>43.1</v>
      </c>
      <c r="I10" s="15" t="n">
        <f aca="false">G10-H10</f>
        <v>0.5</v>
      </c>
      <c r="J10" s="16" t="n">
        <f aca="false">IF(C10="?","",IF(C10="N",-1,1)*(I10-F10))</f>
        <v>0.300000000000004</v>
      </c>
    </row>
    <row r="11" customFormat="false" ht="15" hidden="false" customHeight="false" outlineLevel="0" collapsed="false">
      <c r="A11" s="12" t="s">
        <v>241</v>
      </c>
      <c r="B11" s="12" t="s">
        <v>245</v>
      </c>
      <c r="C11" s="13" t="s">
        <v>179</v>
      </c>
      <c r="D11" s="14" t="n">
        <v>25.6</v>
      </c>
      <c r="E11" s="14" t="n">
        <v>24.3</v>
      </c>
      <c r="F11" s="14" t="n">
        <f aca="false">D11-E11</f>
        <v>1.3</v>
      </c>
      <c r="G11" s="15" t="n">
        <v>28</v>
      </c>
      <c r="H11" s="15" t="n">
        <v>25.5</v>
      </c>
      <c r="I11" s="15" t="n">
        <f aca="false">G11-H11</f>
        <v>2.5</v>
      </c>
      <c r="J11" s="16" t="n">
        <f aca="false">IF(C11="?","",IF(C11="N",-1,1)*(I11-F11))</f>
        <v>1.2</v>
      </c>
    </row>
    <row r="12" customFormat="false" ht="15" hidden="false" customHeight="false" outlineLevel="0" collapsed="false">
      <c r="A12" s="12" t="s">
        <v>241</v>
      </c>
      <c r="B12" s="12" t="s">
        <v>246</v>
      </c>
      <c r="C12" s="13" t="s">
        <v>179</v>
      </c>
      <c r="D12" s="14" t="n">
        <v>61</v>
      </c>
      <c r="E12" s="14" t="n">
        <v>58</v>
      </c>
      <c r="F12" s="14" t="n">
        <f aca="false">D12-E12</f>
        <v>3</v>
      </c>
      <c r="G12" s="15" t="n">
        <v>64</v>
      </c>
      <c r="H12" s="15" t="n">
        <v>59</v>
      </c>
      <c r="I12" s="15" t="n">
        <f aca="false">G12-H12</f>
        <v>5</v>
      </c>
      <c r="J12" s="16" t="n">
        <f aca="false">IF(C12="?","",IF(C12="N",-1,1)*(I12-F12))</f>
        <v>2</v>
      </c>
    </row>
    <row r="13" customFormat="false" ht="15" hidden="false" customHeight="false" outlineLevel="0" collapsed="false">
      <c r="A13" s="12" t="s">
        <v>241</v>
      </c>
      <c r="B13" s="12" t="s">
        <v>247</v>
      </c>
      <c r="C13" s="13" t="s">
        <v>179</v>
      </c>
      <c r="D13" s="14" t="n">
        <v>128.9</v>
      </c>
      <c r="E13" s="14" t="n">
        <v>123.3</v>
      </c>
      <c r="F13" s="14" t="n">
        <f aca="false">D13-E13</f>
        <v>5.60000000000001</v>
      </c>
      <c r="G13" s="15" t="n">
        <v>152.9</v>
      </c>
      <c r="H13" s="15" t="n">
        <v>137.5</v>
      </c>
      <c r="I13" s="15" t="n">
        <f aca="false">G13-H13</f>
        <v>15.4</v>
      </c>
      <c r="J13" s="16" t="n">
        <f aca="false">IF(C13="?","",IF(C13="N",-1,1)*(I13-F13))</f>
        <v>9.8</v>
      </c>
    </row>
    <row r="14" customFormat="false" ht="15" hidden="false" customHeight="false" outlineLevel="0" collapsed="false">
      <c r="A14" s="12" t="s">
        <v>241</v>
      </c>
      <c r="B14" s="12" t="s">
        <v>248</v>
      </c>
      <c r="C14" s="13" t="s">
        <v>179</v>
      </c>
      <c r="D14" s="14" t="n">
        <v>14.3</v>
      </c>
      <c r="E14" s="14" t="n">
        <v>11.8</v>
      </c>
      <c r="F14" s="14" t="n">
        <f aca="false">D14-E14</f>
        <v>2.5</v>
      </c>
      <c r="G14" s="15" t="n">
        <v>15.4</v>
      </c>
      <c r="H14" s="15" t="n">
        <v>13</v>
      </c>
      <c r="I14" s="15" t="n">
        <f aca="false">G14-H14</f>
        <v>2.4</v>
      </c>
      <c r="J14" s="16" t="n">
        <f aca="false">IF(C14="?","",IF(C14="N",-1,1)*(I14-F14))</f>
        <v>-0.0999999999999996</v>
      </c>
    </row>
    <row r="15" customFormat="false" ht="15" hidden="false" customHeight="false" outlineLevel="0" collapsed="false">
      <c r="A15" s="12" t="s">
        <v>241</v>
      </c>
      <c r="B15" s="12" t="s">
        <v>56</v>
      </c>
      <c r="C15" s="13" t="s">
        <v>179</v>
      </c>
      <c r="D15" s="14" t="n">
        <v>349.7</v>
      </c>
      <c r="E15" s="14" t="n">
        <v>317.7</v>
      </c>
      <c r="F15" s="14" t="n">
        <f aca="false">D15-E15</f>
        <v>32</v>
      </c>
      <c r="G15" s="15" t="n">
        <v>372.4</v>
      </c>
      <c r="H15" s="15" t="n">
        <v>330.7</v>
      </c>
      <c r="I15" s="15" t="n">
        <f aca="false">G15-H15</f>
        <v>41.7</v>
      </c>
      <c r="J15" s="16" t="n">
        <f aca="false">IF(C15="?","",IF(C15="N",-1,1)*(I15-F15))</f>
        <v>9.69999999999999</v>
      </c>
    </row>
    <row r="16" customFormat="false" ht="15" hidden="false" customHeight="false" outlineLevel="0" collapsed="false">
      <c r="A16" s="12" t="s">
        <v>241</v>
      </c>
      <c r="B16" s="12" t="s">
        <v>249</v>
      </c>
      <c r="C16" s="13" t="s">
        <v>179</v>
      </c>
      <c r="D16" s="14" t="n">
        <v>241.3</v>
      </c>
      <c r="E16" s="14" t="n">
        <v>211.7</v>
      </c>
      <c r="F16" s="14" t="n">
        <f aca="false">D16-E16</f>
        <v>29.6</v>
      </c>
      <c r="G16" s="15" t="n">
        <v>258</v>
      </c>
      <c r="H16" s="15" t="n">
        <v>211.3</v>
      </c>
      <c r="I16" s="15" t="n">
        <f aca="false">G16-H16</f>
        <v>46.7</v>
      </c>
      <c r="J16" s="16" t="n">
        <f aca="false">IF(C16="?","",IF(C16="N",-1,1)*(I16-F16))</f>
        <v>17.1</v>
      </c>
    </row>
    <row r="17" customFormat="false" ht="15" hidden="false" customHeight="false" outlineLevel="0" collapsed="false">
      <c r="A17" s="12" t="s">
        <v>241</v>
      </c>
      <c r="B17" s="12" t="s">
        <v>250</v>
      </c>
      <c r="C17" s="13" t="s">
        <v>179</v>
      </c>
      <c r="D17" s="14" t="n">
        <v>69</v>
      </c>
      <c r="E17" s="14" t="n">
        <v>66</v>
      </c>
      <c r="F17" s="14" t="n">
        <f aca="false">D17-E17</f>
        <v>3</v>
      </c>
      <c r="G17" s="15" t="n">
        <v>69</v>
      </c>
      <c r="H17" s="15" t="n">
        <v>63</v>
      </c>
      <c r="I17" s="15" t="n">
        <f aca="false">G17-H17</f>
        <v>6</v>
      </c>
      <c r="J17" s="16" t="n">
        <f aca="false">IF(C17="?","",IF(C17="N",-1,1)*(I17-F17))</f>
        <v>3</v>
      </c>
    </row>
    <row r="18" customFormat="false" ht="15" hidden="false" customHeight="false" outlineLevel="0" collapsed="false">
      <c r="A18" s="12" t="s">
        <v>241</v>
      </c>
      <c r="B18" s="12" t="s">
        <v>251</v>
      </c>
      <c r="C18" s="13" t="s">
        <v>180</v>
      </c>
      <c r="D18" s="14" t="n">
        <v>24.6</v>
      </c>
      <c r="E18" s="14" t="n">
        <v>21.6</v>
      </c>
      <c r="F18" s="14" t="n">
        <f aca="false">D18-E18</f>
        <v>3</v>
      </c>
      <c r="G18" s="15" t="n">
        <v>27.4</v>
      </c>
      <c r="H18" s="15" t="n">
        <v>22.8</v>
      </c>
      <c r="I18" s="15" t="n">
        <f aca="false">G18-H18</f>
        <v>4.6</v>
      </c>
      <c r="J18" s="16" t="n">
        <f aca="false">IF(C18="?","",IF(C18="N",-1,1)*(I18-F18))</f>
        <v>-1.6</v>
      </c>
    </row>
    <row r="19" customFormat="false" ht="15" hidden="false" customHeight="false" outlineLevel="0" collapsed="false">
      <c r="A19" s="12" t="s">
        <v>241</v>
      </c>
      <c r="B19" s="12" t="s">
        <v>252</v>
      </c>
      <c r="C19" s="13" t="s">
        <v>179</v>
      </c>
      <c r="D19" s="14" t="n">
        <v>18.2</v>
      </c>
      <c r="E19" s="14" t="n">
        <v>19.7</v>
      </c>
      <c r="F19" s="14" t="n">
        <f aca="false">D19-E19</f>
        <v>-1.5</v>
      </c>
      <c r="G19" s="15" t="n">
        <v>17.1</v>
      </c>
      <c r="H19" s="15" t="n">
        <v>20.4</v>
      </c>
      <c r="I19" s="15" t="n">
        <f aca="false">G19-H19</f>
        <v>-3.3</v>
      </c>
      <c r="J19" s="16" t="n">
        <f aca="false">IF(C19="?","",IF(C19="N",-1,1)*(I19-F19))</f>
        <v>-1.8</v>
      </c>
    </row>
    <row r="20" customFormat="false" ht="15" hidden="false" customHeight="false" outlineLevel="0" collapsed="false">
      <c r="A20" s="12" t="s">
        <v>241</v>
      </c>
      <c r="B20" s="12" t="s">
        <v>82</v>
      </c>
      <c r="C20" s="13" t="s">
        <v>179</v>
      </c>
      <c r="D20" s="14" t="n">
        <v>50.8</v>
      </c>
      <c r="E20" s="14" t="n">
        <v>44.1</v>
      </c>
      <c r="F20" s="14" t="n">
        <f aca="false">D20-E20</f>
        <v>6.7</v>
      </c>
      <c r="G20" s="15" t="n">
        <v>46.2</v>
      </c>
      <c r="H20" s="15" t="n">
        <v>42.4</v>
      </c>
      <c r="I20" s="15" t="n">
        <f aca="false">G20-H20</f>
        <v>3.8</v>
      </c>
      <c r="J20" s="16" t="n">
        <f aca="false">IF(C20="?","",IF(C20="N",-1,1)*(I20-F20))</f>
        <v>-2.89999999999999</v>
      </c>
    </row>
    <row r="21" customFormat="false" ht="15" hidden="false" customHeight="false" outlineLevel="0" collapsed="false">
      <c r="A21" s="12" t="s">
        <v>241</v>
      </c>
      <c r="B21" s="12" t="s">
        <v>74</v>
      </c>
      <c r="C21" s="13" t="s">
        <v>179</v>
      </c>
      <c r="D21" s="14" t="n">
        <v>11.6</v>
      </c>
      <c r="E21" s="14" t="n">
        <v>10.8</v>
      </c>
      <c r="F21" s="14" t="n">
        <f aca="false">D21-E21</f>
        <v>0.799999999999999</v>
      </c>
      <c r="G21" s="15" t="n">
        <v>14.8</v>
      </c>
      <c r="H21" s="15" t="n">
        <v>8.4</v>
      </c>
      <c r="I21" s="15" t="n">
        <f aca="false">G21-H21</f>
        <v>6.4</v>
      </c>
      <c r="J21" s="16" t="n">
        <f aca="false">IF(C21="?","",IF(C21="N",-1,1)*(I21-F21))</f>
        <v>5.6</v>
      </c>
    </row>
    <row r="22" customFormat="false" ht="15" hidden="false" customHeight="false" outlineLevel="0" collapsed="false">
      <c r="A22" s="12" t="s">
        <v>241</v>
      </c>
      <c r="B22" s="12" t="s">
        <v>253</v>
      </c>
      <c r="C22" s="13" t="s">
        <v>179</v>
      </c>
      <c r="D22" s="14" t="n">
        <v>50</v>
      </c>
      <c r="E22" s="14" t="n">
        <v>53</v>
      </c>
      <c r="F22" s="14" t="n">
        <f aca="false">D22-E22</f>
        <v>-3</v>
      </c>
      <c r="G22" s="15" t="n">
        <v>53</v>
      </c>
      <c r="H22" s="15" t="n">
        <v>47</v>
      </c>
      <c r="I22" s="15" t="n">
        <f aca="false">G22-H22</f>
        <v>6</v>
      </c>
      <c r="J22" s="16" t="n">
        <f aca="false">IF(C22="?","",IF(C22="N",-1,1)*(I22-F22))</f>
        <v>9</v>
      </c>
    </row>
    <row r="23" customFormat="false" ht="15" hidden="false" customHeight="false" outlineLevel="0" collapsed="false">
      <c r="A23" s="12" t="s">
        <v>241</v>
      </c>
      <c r="B23" s="12" t="s">
        <v>254</v>
      </c>
      <c r="C23" s="13" t="s">
        <v>179</v>
      </c>
      <c r="D23" s="14" t="n">
        <v>77.9</v>
      </c>
      <c r="E23" s="14" t="n">
        <v>76.1</v>
      </c>
      <c r="F23" s="14" t="n">
        <f aca="false">D23-E23</f>
        <v>1.80000000000001</v>
      </c>
      <c r="G23" s="15" t="n">
        <v>100.2</v>
      </c>
      <c r="H23" s="15" t="n">
        <v>85.4</v>
      </c>
      <c r="I23" s="15" t="n">
        <f aca="false">G23-H23</f>
        <v>14.8</v>
      </c>
      <c r="J23" s="16" t="n">
        <f aca="false">IF(C23="?","",IF(C23="N",-1,1)*(I23-F23))</f>
        <v>13</v>
      </c>
    </row>
    <row r="24" customFormat="false" ht="15" hidden="false" customHeight="false" outlineLevel="0" collapsed="false">
      <c r="A24" s="12" t="s">
        <v>241</v>
      </c>
      <c r="B24" s="12" t="s">
        <v>255</v>
      </c>
      <c r="C24" s="13" t="s">
        <v>181</v>
      </c>
      <c r="D24" s="14" t="n">
        <v>7.4</v>
      </c>
      <c r="E24" s="14" t="n">
        <v>9.2</v>
      </c>
      <c r="F24" s="14" t="n">
        <f aca="false">D24-E24</f>
        <v>-1.8</v>
      </c>
      <c r="G24" s="15" t="n">
        <v>8.3</v>
      </c>
      <c r="H24" s="15" t="n">
        <v>7</v>
      </c>
      <c r="I24" s="15" t="n">
        <f aca="false">G24-H24</f>
        <v>1.3</v>
      </c>
      <c r="J24" s="16" t="str">
        <f aca="false">IF(C24="?","",IF(C24="N",-1,1)*(I24-F24))</f>
        <v/>
      </c>
    </row>
    <row r="25" customFormat="false" ht="15" hidden="false" customHeight="false" outlineLevel="0" collapsed="false">
      <c r="A25" s="12" t="s">
        <v>241</v>
      </c>
      <c r="B25" s="12" t="s">
        <v>86</v>
      </c>
      <c r="C25" s="13" t="s">
        <v>179</v>
      </c>
      <c r="D25" s="14" t="n">
        <v>125.4</v>
      </c>
      <c r="E25" s="14" t="n">
        <v>118.6</v>
      </c>
      <c r="F25" s="14" t="n">
        <f aca="false">D25-E25</f>
        <v>6.80000000000001</v>
      </c>
      <c r="G25" s="15" t="n">
        <v>142.5</v>
      </c>
      <c r="H25" s="15" t="n">
        <v>122.3</v>
      </c>
      <c r="I25" s="15" t="n">
        <f aca="false">G25-H25</f>
        <v>20.2</v>
      </c>
      <c r="J25" s="16" t="n">
        <f aca="false">IF(C25="?","",IF(C25="N",-1,1)*(I25-F25))</f>
        <v>13.4</v>
      </c>
    </row>
    <row r="26" customFormat="false" ht="15" hidden="false" customHeight="false" outlineLevel="0" collapsed="false">
      <c r="A26" s="12" t="s">
        <v>241</v>
      </c>
      <c r="B26" s="12" t="s">
        <v>256</v>
      </c>
      <c r="C26" s="13" t="s">
        <v>179</v>
      </c>
      <c r="D26" s="14" t="n">
        <v>97</v>
      </c>
      <c r="E26" s="14" t="n">
        <v>92.5</v>
      </c>
      <c r="F26" s="14" t="n">
        <f aca="false">D26-E26</f>
        <v>4.5</v>
      </c>
      <c r="G26" s="15" t="n">
        <v>113.7</v>
      </c>
      <c r="H26" s="15" t="n">
        <v>92.5</v>
      </c>
      <c r="I26" s="15" t="n">
        <f aca="false">G26-H26</f>
        <v>21.2</v>
      </c>
      <c r="J26" s="16" t="n">
        <f aca="false">IF(C26="?","",IF(C26="N",-1,1)*(I26-F26))</f>
        <v>16.7</v>
      </c>
    </row>
    <row r="27" customFormat="false" ht="15" hidden="false" customHeight="false" outlineLevel="0" collapsed="false">
      <c r="A27" s="12" t="s">
        <v>241</v>
      </c>
      <c r="B27" s="12" t="s">
        <v>257</v>
      </c>
      <c r="C27" s="13" t="s">
        <v>179</v>
      </c>
      <c r="D27" s="14" t="n">
        <v>77</v>
      </c>
      <c r="E27" s="14" t="n">
        <v>77</v>
      </c>
      <c r="F27" s="14" t="n">
        <f aca="false">D27-E27</f>
        <v>0</v>
      </c>
      <c r="G27" s="15" t="n">
        <v>79</v>
      </c>
      <c r="H27" s="15" t="n">
        <v>75</v>
      </c>
      <c r="I27" s="15" t="n">
        <f aca="false">G27-H27</f>
        <v>4</v>
      </c>
      <c r="J27" s="16" t="n">
        <f aca="false">IF(C27="?","",IF(C27="N",-1,1)*(I27-F27))</f>
        <v>4</v>
      </c>
    </row>
    <row r="28" customFormat="false" ht="15" hidden="false" customHeight="false" outlineLevel="0" collapsed="false">
      <c r="A28" s="12" t="s">
        <v>241</v>
      </c>
      <c r="B28" s="12" t="s">
        <v>258</v>
      </c>
      <c r="C28" s="13" t="s">
        <v>179</v>
      </c>
      <c r="D28" s="14" t="n">
        <v>28.4</v>
      </c>
      <c r="E28" s="14" t="n">
        <v>25.4</v>
      </c>
      <c r="F28" s="14" t="n">
        <f aca="false">D28-E28</f>
        <v>3</v>
      </c>
      <c r="G28" s="15" t="n">
        <v>34.1</v>
      </c>
      <c r="H28" s="15" t="n">
        <v>30.5</v>
      </c>
      <c r="I28" s="15" t="n">
        <f aca="false">G28-H28</f>
        <v>3.6</v>
      </c>
      <c r="J28" s="16" t="n">
        <f aca="false">IF(C28="?","",IF(C28="N",-1,1)*(I28-F28))</f>
        <v>0.600000000000001</v>
      </c>
    </row>
    <row r="29" customFormat="false" ht="15" hidden="false" customHeight="false" outlineLevel="0" collapsed="false">
      <c r="A29" s="12" t="s">
        <v>241</v>
      </c>
      <c r="B29" s="12" t="s">
        <v>259</v>
      </c>
      <c r="C29" s="13" t="s">
        <v>181</v>
      </c>
      <c r="D29" s="14" t="n">
        <v>56.2</v>
      </c>
      <c r="E29" s="14" t="n">
        <v>40.1</v>
      </c>
      <c r="F29" s="14" t="n">
        <f aca="false">D29-E29</f>
        <v>16.1</v>
      </c>
      <c r="G29" s="15" t="n">
        <v>42.3</v>
      </c>
      <c r="H29" s="15" t="n">
        <v>59.1</v>
      </c>
      <c r="I29" s="15" t="n">
        <f aca="false">G29-H29</f>
        <v>-16.8</v>
      </c>
      <c r="J29" s="16" t="str">
        <f aca="false">IF(C29="?","",IF(C29="N",-1,1)*(I29-F29))</f>
        <v/>
      </c>
    </row>
    <row r="30" customFormat="false" ht="15" hidden="false" customHeight="false" outlineLevel="0" collapsed="false">
      <c r="A30" s="12" t="s">
        <v>241</v>
      </c>
      <c r="B30" s="12" t="s">
        <v>260</v>
      </c>
      <c r="C30" s="13" t="s">
        <v>179</v>
      </c>
      <c r="D30" s="14" t="n">
        <v>11.8</v>
      </c>
      <c r="E30" s="14" t="n">
        <v>7.6</v>
      </c>
      <c r="F30" s="14" t="n">
        <f aca="false">D30-E30</f>
        <v>4.2</v>
      </c>
      <c r="G30" s="15" t="n">
        <v>9.2</v>
      </c>
      <c r="H30" s="15" t="n">
        <v>12.3</v>
      </c>
      <c r="I30" s="15" t="n">
        <f aca="false">G30-H30</f>
        <v>-3.1</v>
      </c>
      <c r="J30" s="16" t="n">
        <f aca="false">IF(C30="?","",IF(C30="N",-1,1)*(I30-F30))</f>
        <v>-7.3</v>
      </c>
    </row>
    <row r="31" customFormat="false" ht="15" hidden="false" customHeight="false" outlineLevel="0" collapsed="false">
      <c r="A31" s="12" t="s">
        <v>241</v>
      </c>
      <c r="B31" s="12" t="s">
        <v>98</v>
      </c>
      <c r="C31" s="13" t="s">
        <v>179</v>
      </c>
      <c r="D31" s="14" t="n">
        <v>48.3</v>
      </c>
      <c r="E31" s="14" t="n">
        <v>42.3</v>
      </c>
      <c r="F31" s="14" t="n">
        <f aca="false">D31-E31</f>
        <v>6</v>
      </c>
      <c r="G31" s="15" t="n">
        <v>55.6</v>
      </c>
      <c r="H31" s="15" t="n">
        <v>42</v>
      </c>
      <c r="I31" s="15" t="n">
        <f aca="false">G31-H31</f>
        <v>13.6</v>
      </c>
      <c r="J31" s="16" t="n">
        <f aca="false">IF(C31="?","",IF(C31="N",-1,1)*(I31-F31))</f>
        <v>7.6</v>
      </c>
    </row>
    <row r="32" customFormat="false" ht="15" hidden="false" customHeight="false" outlineLevel="0" collapsed="false">
      <c r="A32" s="12" t="s">
        <v>241</v>
      </c>
      <c r="B32" s="12" t="s">
        <v>261</v>
      </c>
      <c r="C32" s="13" t="s">
        <v>179</v>
      </c>
      <c r="D32" s="14" t="n">
        <v>25</v>
      </c>
      <c r="E32" s="14" t="n">
        <v>20.4</v>
      </c>
      <c r="F32" s="14" t="n">
        <f aca="false">D32-E32</f>
        <v>4.6</v>
      </c>
      <c r="G32" s="15" t="n">
        <v>30.2</v>
      </c>
      <c r="H32" s="15" t="n">
        <v>18.7</v>
      </c>
      <c r="I32" s="15" t="n">
        <f aca="false">G32-H32</f>
        <v>11.5</v>
      </c>
      <c r="J32" s="16" t="n">
        <f aca="false">IF(C32="?","",IF(C32="N",-1,1)*(I32-F32))</f>
        <v>6.9</v>
      </c>
    </row>
    <row r="33" customFormat="false" ht="15" hidden="false" customHeight="false" outlineLevel="0" collapsed="false">
      <c r="A33" s="12" t="s">
        <v>241</v>
      </c>
      <c r="B33" s="12" t="s">
        <v>262</v>
      </c>
      <c r="C33" s="13" t="s">
        <v>179</v>
      </c>
      <c r="D33" s="14" t="n">
        <v>51</v>
      </c>
      <c r="E33" s="14" t="n">
        <v>48</v>
      </c>
      <c r="F33" s="14" t="n">
        <f aca="false">D33-E33</f>
        <v>3</v>
      </c>
      <c r="G33" s="15" t="n">
        <v>54</v>
      </c>
      <c r="H33" s="15" t="n">
        <v>45</v>
      </c>
      <c r="I33" s="15" t="n">
        <f aca="false">G33-H33</f>
        <v>9</v>
      </c>
      <c r="J33" s="16" t="n">
        <f aca="false">IF(C33="?","",IF(C33="N",-1,1)*(I33-F33))</f>
        <v>6</v>
      </c>
    </row>
    <row r="34" customFormat="false" ht="15" hidden="false" customHeight="false" outlineLevel="0" collapsed="false">
      <c r="A34" s="12" t="s">
        <v>241</v>
      </c>
      <c r="B34" s="12" t="s">
        <v>263</v>
      </c>
      <c r="C34" s="13" t="s">
        <v>179</v>
      </c>
      <c r="D34" s="14" t="n">
        <v>16.8</v>
      </c>
      <c r="E34" s="14" t="n">
        <v>13.2</v>
      </c>
      <c r="F34" s="14" t="n">
        <f aca="false">D34-E34</f>
        <v>3.6</v>
      </c>
      <c r="G34" s="15" t="n">
        <v>16</v>
      </c>
      <c r="H34" s="15" t="n">
        <v>17.6</v>
      </c>
      <c r="I34" s="15" t="n">
        <f aca="false">G34-H34</f>
        <v>-1.6</v>
      </c>
      <c r="J34" s="16" t="n">
        <f aca="false">IF(C34="?","",IF(C34="N",-1,1)*(I34-F34))</f>
        <v>-5.2</v>
      </c>
    </row>
    <row r="35" customFormat="false" ht="15" hidden="false" customHeight="false" outlineLevel="0" collapsed="false">
      <c r="A35" s="12" t="s">
        <v>241</v>
      </c>
      <c r="B35" s="12" t="s">
        <v>106</v>
      </c>
      <c r="C35" s="13" t="s">
        <v>179</v>
      </c>
      <c r="D35" s="14" t="n">
        <v>224.3</v>
      </c>
      <c r="E35" s="14" t="n">
        <v>199.1</v>
      </c>
      <c r="F35" s="14" t="n">
        <f aca="false">D35-E35</f>
        <v>25.2</v>
      </c>
      <c r="G35" s="15" t="n">
        <v>229.9</v>
      </c>
      <c r="H35" s="15" t="n">
        <v>208.4</v>
      </c>
      <c r="I35" s="15" t="n">
        <f aca="false">G35-H35</f>
        <v>21.5</v>
      </c>
      <c r="J35" s="16" t="n">
        <f aca="false">IF(C35="?","",IF(C35="N",-1,1)*(I35-F35))</f>
        <v>-3.70000000000002</v>
      </c>
    </row>
    <row r="36" customFormat="false" ht="15" hidden="false" customHeight="false" outlineLevel="0" collapsed="false">
      <c r="A36" s="12" t="s">
        <v>241</v>
      </c>
      <c r="B36" s="12" t="s">
        <v>264</v>
      </c>
      <c r="C36" s="13" t="s">
        <v>179</v>
      </c>
      <c r="D36" s="14" t="n">
        <v>144.3</v>
      </c>
      <c r="E36" s="14" t="n">
        <v>119.2</v>
      </c>
      <c r="F36" s="14" t="n">
        <f aca="false">D36-E36</f>
        <v>25.1</v>
      </c>
      <c r="G36" s="15" t="n">
        <v>144.3</v>
      </c>
      <c r="H36" s="15" t="n">
        <v>118.8</v>
      </c>
      <c r="I36" s="15" t="n">
        <f aca="false">G36-H36</f>
        <v>25.5</v>
      </c>
      <c r="J36" s="16" t="n">
        <f aca="false">IF(C36="?","",IF(C36="N",-1,1)*(I36-F36))</f>
        <v>0.400000000000006</v>
      </c>
    </row>
    <row r="37" customFormat="false" ht="15" hidden="false" customHeight="false" outlineLevel="0" collapsed="false">
      <c r="A37" s="12" t="s">
        <v>241</v>
      </c>
      <c r="B37" s="12" t="s">
        <v>265</v>
      </c>
      <c r="C37" s="13" t="s">
        <v>181</v>
      </c>
      <c r="D37" s="14" t="n">
        <v>9.2</v>
      </c>
      <c r="E37" s="14" t="n">
        <v>11.3</v>
      </c>
      <c r="F37" s="14" t="n">
        <f aca="false">D37-E37</f>
        <v>-2.1</v>
      </c>
      <c r="G37" s="15" t="n">
        <v>9</v>
      </c>
      <c r="H37" s="15" t="n">
        <v>12.8</v>
      </c>
      <c r="I37" s="15" t="n">
        <f aca="false">G37-H37</f>
        <v>-3.8</v>
      </c>
      <c r="J37" s="16" t="str">
        <f aca="false">IF(C37="?","",IF(C37="N",-1,1)*(I37-F37))</f>
        <v/>
      </c>
    </row>
    <row r="38" customFormat="false" ht="15" hidden="false" customHeight="false" outlineLevel="0" collapsed="false">
      <c r="A38" s="12" t="s">
        <v>241</v>
      </c>
      <c r="B38" s="12" t="s">
        <v>266</v>
      </c>
      <c r="C38" s="13" t="s">
        <v>179</v>
      </c>
      <c r="D38" s="14" t="n">
        <v>7.6</v>
      </c>
      <c r="E38" s="14" t="n">
        <v>8.4</v>
      </c>
      <c r="F38" s="14" t="n">
        <f aca="false">D38-E38</f>
        <v>-0.800000000000001</v>
      </c>
      <c r="G38" s="15" t="n">
        <v>7.3</v>
      </c>
      <c r="H38" s="15" t="n">
        <v>9.6</v>
      </c>
      <c r="I38" s="15" t="n">
        <f aca="false">G38-H38</f>
        <v>-2.3</v>
      </c>
      <c r="J38" s="16" t="n">
        <f aca="false">IF(C38="?","",IF(C38="N",-1,1)*(I38-F38))</f>
        <v>-1.5</v>
      </c>
    </row>
    <row r="39" customFormat="false" ht="15" hidden="false" customHeight="false" outlineLevel="0" collapsed="false">
      <c r="A39" s="12" t="s">
        <v>241</v>
      </c>
      <c r="B39" s="12" t="s">
        <v>267</v>
      </c>
      <c r="C39" s="13" t="s">
        <v>179</v>
      </c>
      <c r="D39" s="14" t="n">
        <v>82</v>
      </c>
      <c r="E39" s="14" t="n">
        <v>75</v>
      </c>
      <c r="F39" s="14" t="n">
        <f aca="false">D39-E39</f>
        <v>7</v>
      </c>
      <c r="G39" s="15" t="n">
        <v>81</v>
      </c>
      <c r="H39" s="15" t="n">
        <v>75</v>
      </c>
      <c r="I39" s="15" t="n">
        <f aca="false">G39-H39</f>
        <v>6</v>
      </c>
      <c r="J39" s="16" t="n">
        <f aca="false">IF(C39="?","",IF(C39="N",-1,1)*(I39-F39))</f>
        <v>-1</v>
      </c>
    </row>
    <row r="40" customFormat="false" ht="15" hidden="false" customHeight="false" outlineLevel="0" collapsed="false">
      <c r="A40" s="12" t="s">
        <v>241</v>
      </c>
      <c r="B40" s="12" t="s">
        <v>268</v>
      </c>
      <c r="C40" s="13" t="s">
        <v>179</v>
      </c>
      <c r="D40" s="14" t="n">
        <v>64</v>
      </c>
      <c r="E40" s="14" t="n">
        <v>59</v>
      </c>
      <c r="F40" s="14" t="n">
        <f aca="false">D40-E40</f>
        <v>5</v>
      </c>
      <c r="G40" s="15" t="n">
        <v>62</v>
      </c>
      <c r="H40" s="15" t="n">
        <v>57</v>
      </c>
      <c r="I40" s="15" t="n">
        <f aca="false">G40-H40</f>
        <v>5</v>
      </c>
      <c r="J40" s="16" t="n">
        <f aca="false">IF(C40="?","",IF(C40="N",-1,1)*(I40-F40))</f>
        <v>0</v>
      </c>
    </row>
    <row r="41" customFormat="false" ht="15" hidden="false" customHeight="false" outlineLevel="0" collapsed="false">
      <c r="A41" s="12" t="s">
        <v>241</v>
      </c>
      <c r="B41" s="12" t="s">
        <v>269</v>
      </c>
      <c r="C41" s="13" t="s">
        <v>179</v>
      </c>
      <c r="D41" s="14" t="n">
        <v>49.6</v>
      </c>
      <c r="E41" s="14" t="n">
        <v>50.6</v>
      </c>
      <c r="F41" s="14" t="n">
        <f aca="false">D41-E41</f>
        <v>-1</v>
      </c>
      <c r="G41" s="15" t="n">
        <v>66</v>
      </c>
      <c r="H41" s="15" t="n">
        <v>54.9</v>
      </c>
      <c r="I41" s="15" t="n">
        <f aca="false">G41-H41</f>
        <v>11.1</v>
      </c>
      <c r="J41" s="16" t="n">
        <f aca="false">IF(C41="?","",IF(C41="N",-1,1)*(I41-F41))</f>
        <v>12.1</v>
      </c>
    </row>
    <row r="42" customFormat="false" ht="15" hidden="false" customHeight="false" outlineLevel="0" collapsed="false">
      <c r="A42" s="12" t="s">
        <v>241</v>
      </c>
      <c r="B42" s="12" t="s">
        <v>120</v>
      </c>
      <c r="C42" s="13" t="s">
        <v>179</v>
      </c>
      <c r="D42" s="14" t="n">
        <v>110.4</v>
      </c>
      <c r="E42" s="14" t="n">
        <v>88.2</v>
      </c>
      <c r="F42" s="14" t="n">
        <f aca="false">D42-E42</f>
        <v>22.2</v>
      </c>
      <c r="G42" s="15" t="n">
        <v>99.3</v>
      </c>
      <c r="H42" s="15" t="n">
        <v>91</v>
      </c>
      <c r="I42" s="15" t="n">
        <f aca="false">G42-H42</f>
        <v>8.3</v>
      </c>
      <c r="J42" s="16" t="n">
        <f aca="false">IF(C42="?","",IF(C42="N",-1,1)*(I42-F42))</f>
        <v>-13.9</v>
      </c>
    </row>
    <row r="43" customFormat="false" ht="15" hidden="false" customHeight="false" outlineLevel="0" collapsed="false">
      <c r="A43" s="12" t="s">
        <v>241</v>
      </c>
      <c r="B43" s="12" t="s">
        <v>270</v>
      </c>
      <c r="C43" s="13" t="s">
        <v>179</v>
      </c>
      <c r="D43" s="14" t="n">
        <v>15.1</v>
      </c>
      <c r="E43" s="14" t="n">
        <v>11.3</v>
      </c>
      <c r="F43" s="14" t="n">
        <f aca="false">D43-E43</f>
        <v>3.8</v>
      </c>
      <c r="G43" s="15" t="n">
        <v>15.9</v>
      </c>
      <c r="H43" s="15" t="n">
        <v>9.3</v>
      </c>
      <c r="I43" s="15" t="n">
        <f aca="false">G43-H43</f>
        <v>6.6</v>
      </c>
      <c r="J43" s="16" t="n">
        <f aca="false">IF(C43="?","",IF(C43="N",-1,1)*(I43-F43))</f>
        <v>2.8</v>
      </c>
    </row>
    <row r="44" customFormat="false" ht="15" hidden="false" customHeight="false" outlineLevel="0" collapsed="false">
      <c r="A44" s="12" t="s">
        <v>241</v>
      </c>
      <c r="B44" s="12" t="s">
        <v>271</v>
      </c>
      <c r="C44" s="13" t="s">
        <v>179</v>
      </c>
      <c r="D44" s="14" t="n">
        <v>96.1</v>
      </c>
      <c r="E44" s="14" t="n">
        <v>76.4</v>
      </c>
      <c r="F44" s="14" t="n">
        <f aca="false">D44-E44</f>
        <v>19.7</v>
      </c>
      <c r="G44" s="15" t="n">
        <v>84</v>
      </c>
      <c r="H44" s="15" t="n">
        <v>78</v>
      </c>
      <c r="I44" s="15" t="n">
        <f aca="false">G44-H44</f>
        <v>6</v>
      </c>
      <c r="J44" s="16" t="n">
        <f aca="false">IF(C44="?","",IF(C44="N",-1,1)*(I44-F44))</f>
        <v>-13.7</v>
      </c>
    </row>
    <row r="45" customFormat="false" ht="15" hidden="false" customHeight="false" outlineLevel="0" collapsed="false">
      <c r="A45" s="12" t="s">
        <v>241</v>
      </c>
      <c r="B45" s="12" t="s">
        <v>272</v>
      </c>
      <c r="C45" s="13" t="s">
        <v>180</v>
      </c>
      <c r="D45" s="14" t="n">
        <v>39</v>
      </c>
      <c r="E45" s="14" t="n">
        <v>44.4</v>
      </c>
      <c r="F45" s="14" t="n">
        <f aca="false">D45-E45</f>
        <v>-5.4</v>
      </c>
      <c r="G45" s="15" t="n">
        <v>43.2</v>
      </c>
      <c r="H45" s="15" t="n">
        <v>51</v>
      </c>
      <c r="I45" s="15" t="n">
        <f aca="false">G45-H45</f>
        <v>-7.8</v>
      </c>
      <c r="J45" s="16" t="n">
        <f aca="false">IF(C45="?","",IF(C45="N",-1,1)*(I45-F45))</f>
        <v>2.4</v>
      </c>
    </row>
    <row r="46" customFormat="false" ht="15" hidden="false" customHeight="false" outlineLevel="0" collapsed="false">
      <c r="A46" s="12" t="s">
        <v>241</v>
      </c>
      <c r="B46" s="12" t="s">
        <v>273</v>
      </c>
      <c r="C46" s="13" t="s">
        <v>179</v>
      </c>
      <c r="D46" s="14" t="n">
        <v>36.3</v>
      </c>
      <c r="E46" s="14" t="n">
        <v>42.8</v>
      </c>
      <c r="F46" s="14" t="n">
        <f aca="false">D46-E46</f>
        <v>-6.5</v>
      </c>
      <c r="G46" s="15" t="n">
        <v>45.4</v>
      </c>
      <c r="H46" s="15" t="n">
        <v>41</v>
      </c>
      <c r="I46" s="15" t="n">
        <f aca="false">G46-H46</f>
        <v>4.4</v>
      </c>
      <c r="J46" s="16" t="n">
        <f aca="false">IF(C46="?","",IF(C46="N",-1,1)*(I46-F46))</f>
        <v>10.9</v>
      </c>
    </row>
    <row r="47" customFormat="false" ht="15" hidden="false" customHeight="false" outlineLevel="0" collapsed="false">
      <c r="A47" s="12" t="s">
        <v>241</v>
      </c>
      <c r="B47" s="12" t="s">
        <v>274</v>
      </c>
      <c r="C47" s="13" t="s">
        <v>179</v>
      </c>
      <c r="D47" s="14" t="n">
        <v>68.3</v>
      </c>
      <c r="E47" s="14" t="n">
        <v>64.9</v>
      </c>
      <c r="F47" s="14" t="n">
        <f aca="false">D47-E47</f>
        <v>3.39999999999999</v>
      </c>
      <c r="G47" s="15" t="n">
        <v>74.2</v>
      </c>
      <c r="H47" s="15" t="n">
        <v>72.1</v>
      </c>
      <c r="I47" s="15" t="n">
        <f aca="false">G47-H47</f>
        <v>2.10000000000001</v>
      </c>
      <c r="J47" s="16" t="n">
        <f aca="false">IF(C47="?","",IF(C47="N",-1,1)*(I47-F47))</f>
        <v>-1.29999999999998</v>
      </c>
    </row>
    <row r="48" customFormat="false" ht="15" hidden="false" customHeight="false" outlineLevel="0" collapsed="false">
      <c r="A48" s="12" t="s">
        <v>241</v>
      </c>
      <c r="B48" s="12" t="s">
        <v>275</v>
      </c>
      <c r="C48" s="13" t="s">
        <v>179</v>
      </c>
      <c r="D48" s="14" t="n">
        <v>34.1</v>
      </c>
      <c r="E48" s="14" t="n">
        <v>40.4</v>
      </c>
      <c r="F48" s="14" t="n">
        <f aca="false">D48-E48</f>
        <v>-6.3</v>
      </c>
      <c r="G48" s="15" t="n">
        <v>46.6</v>
      </c>
      <c r="H48" s="15" t="n">
        <v>46.1</v>
      </c>
      <c r="I48" s="15" t="n">
        <f aca="false">G48-H48</f>
        <v>0.5</v>
      </c>
      <c r="J48" s="16" t="n">
        <f aca="false">IF(C48="?","",IF(C48="N",-1,1)*(I48-F48))</f>
        <v>6.8</v>
      </c>
    </row>
    <row r="49" customFormat="false" ht="15" hidden="false" customHeight="false" outlineLevel="0" collapsed="false">
      <c r="A49" s="12" t="s">
        <v>241</v>
      </c>
      <c r="B49" s="12" t="s">
        <v>276</v>
      </c>
      <c r="C49" s="13" t="s">
        <v>179</v>
      </c>
      <c r="D49" s="14" t="n">
        <v>6</v>
      </c>
      <c r="E49" s="14" t="n">
        <v>6.9</v>
      </c>
      <c r="F49" s="14" t="n">
        <f aca="false">D49-E49</f>
        <v>-0.9</v>
      </c>
      <c r="G49" s="15" t="n">
        <v>9.4</v>
      </c>
      <c r="H49" s="15" t="n">
        <v>7</v>
      </c>
      <c r="I49" s="15" t="n">
        <f aca="false">G49-H49</f>
        <v>2.4</v>
      </c>
      <c r="J49" s="16" t="n">
        <f aca="false">IF(C49="?","",IF(C49="N",-1,1)*(I49-F49))</f>
        <v>3.3</v>
      </c>
    </row>
    <row r="50" customFormat="false" ht="15" hidden="false" customHeight="false" outlineLevel="0" collapsed="false">
      <c r="A50" s="12" t="s">
        <v>241</v>
      </c>
      <c r="B50" s="12" t="s">
        <v>277</v>
      </c>
      <c r="C50" s="13" t="s">
        <v>179</v>
      </c>
      <c r="D50" s="14" t="n">
        <v>105.2</v>
      </c>
      <c r="E50" s="14" t="n">
        <v>103.8</v>
      </c>
      <c r="F50" s="14" t="n">
        <f aca="false">D50-E50</f>
        <v>1.40000000000001</v>
      </c>
      <c r="G50" s="15" t="n">
        <v>129.4</v>
      </c>
      <c r="H50" s="15" t="n">
        <v>105.8</v>
      </c>
      <c r="I50" s="15" t="n">
        <f aca="false">G50-H50</f>
        <v>23.6</v>
      </c>
      <c r="J50" s="16" t="n">
        <f aca="false">IF(C50="?","",IF(C50="N",-1,1)*(I50-F50))</f>
        <v>22.2</v>
      </c>
    </row>
    <row r="51" customFormat="false" ht="15" hidden="false" customHeight="false" outlineLevel="0" collapsed="false">
      <c r="A51" s="12" t="s">
        <v>241</v>
      </c>
      <c r="B51" s="12" t="s">
        <v>278</v>
      </c>
      <c r="C51" s="13" t="s">
        <v>179</v>
      </c>
      <c r="D51" s="14" t="n">
        <v>1617.7</v>
      </c>
      <c r="E51" s="14" t="n">
        <v>1475.9</v>
      </c>
      <c r="F51" s="14" t="n">
        <f aca="false">D51-E51</f>
        <v>141.8</v>
      </c>
      <c r="G51" s="15" t="n">
        <v>1739.5</v>
      </c>
      <c r="H51" s="15" t="n">
        <v>1502.1</v>
      </c>
      <c r="I51" s="15" t="n">
        <f aca="false">G51-H51</f>
        <v>237.4</v>
      </c>
      <c r="J51" s="16" t="n">
        <f aca="false">IF(C51="?","",IF(C51="N",-1,1)*(I51-F51))</f>
        <v>95.6000000000001</v>
      </c>
    </row>
    <row r="52" customFormat="false" ht="15" hidden="false" customHeight="false" outlineLevel="0" collapsed="false">
      <c r="A52" s="12" t="s">
        <v>241</v>
      </c>
      <c r="B52" s="12" t="s">
        <v>134</v>
      </c>
      <c r="C52" s="13" t="s">
        <v>181</v>
      </c>
      <c r="D52" s="14" t="n">
        <v>30.8</v>
      </c>
      <c r="E52" s="14" t="n">
        <v>36.6</v>
      </c>
      <c r="F52" s="14" t="n">
        <f aca="false">D52-E52</f>
        <v>-5.8</v>
      </c>
      <c r="G52" s="15" t="n">
        <v>33.2</v>
      </c>
      <c r="H52" s="15" t="n">
        <v>40.3</v>
      </c>
      <c r="I52" s="15" t="n">
        <f aca="false">G52-H52</f>
        <v>-7.09999999999999</v>
      </c>
      <c r="J52" s="16" t="str">
        <f aca="false">IF(C52="?","",IF(C52="N",-1,1)*(I52-F52))</f>
        <v/>
      </c>
    </row>
    <row r="53" customFormat="false" ht="15" hidden="false" customHeight="false" outlineLevel="0" collapsed="false">
      <c r="A53" s="12" t="s">
        <v>241</v>
      </c>
      <c r="B53" s="12" t="s">
        <v>279</v>
      </c>
      <c r="C53" s="13" t="s">
        <v>181</v>
      </c>
      <c r="D53" s="14" t="n">
        <v>19.9</v>
      </c>
      <c r="E53" s="14" t="n">
        <v>21.1</v>
      </c>
      <c r="F53" s="14" t="n">
        <f aca="false">D53-E53</f>
        <v>-1.2</v>
      </c>
      <c r="G53" s="15" t="n">
        <v>21.2</v>
      </c>
      <c r="H53" s="15" t="n">
        <v>22.1</v>
      </c>
      <c r="I53" s="15" t="n">
        <f aca="false">G53-H53</f>
        <v>-0.900000000000002</v>
      </c>
      <c r="J53" s="16" t="str">
        <f aca="false">IF(C53="?","",IF(C53="N",-1,1)*(I53-F53))</f>
        <v/>
      </c>
    </row>
    <row r="54" customFormat="false" ht="15" hidden="false" customHeight="false" outlineLevel="0" collapsed="false">
      <c r="A54" s="12" t="s">
        <v>241</v>
      </c>
      <c r="B54" s="12" t="s">
        <v>280</v>
      </c>
      <c r="C54" s="13" t="s">
        <v>179</v>
      </c>
      <c r="D54" s="14" t="n">
        <v>64</v>
      </c>
      <c r="E54" s="14" t="n">
        <v>58</v>
      </c>
      <c r="F54" s="14" t="n">
        <f aca="false">D54-E54</f>
        <v>6</v>
      </c>
      <c r="G54" s="15" t="n">
        <v>63</v>
      </c>
      <c r="H54" s="15" t="n">
        <v>55</v>
      </c>
      <c r="I54" s="15" t="n">
        <f aca="false">G54-H54</f>
        <v>8</v>
      </c>
      <c r="J54" s="16" t="n">
        <f aca="false">IF(C54="?","",IF(C54="N",-1,1)*(I54-F54))</f>
        <v>2</v>
      </c>
    </row>
    <row r="55" customFormat="false" ht="15" hidden="false" customHeight="false" outlineLevel="0" collapsed="false">
      <c r="A55" s="12" t="s">
        <v>281</v>
      </c>
      <c r="B55" s="12" t="s">
        <v>282</v>
      </c>
      <c r="C55" s="13" t="s">
        <v>181</v>
      </c>
      <c r="D55" s="14" t="n">
        <v>2.4</v>
      </c>
      <c r="E55" s="14" t="n">
        <v>1.4</v>
      </c>
      <c r="F55" s="14" t="n">
        <f aca="false">D55-E55</f>
        <v>1</v>
      </c>
      <c r="G55" s="15" t="n">
        <v>1.3</v>
      </c>
      <c r="H55" s="15" t="n">
        <v>2.7</v>
      </c>
      <c r="I55" s="15" t="n">
        <f aca="false">G55-H55</f>
        <v>-1.4</v>
      </c>
      <c r="J55" s="16" t="str">
        <f aca="false">IF(C55="?","",IF(C55="N",-1,1)*(I55-F55))</f>
        <v/>
      </c>
    </row>
    <row r="56" customFormat="false" ht="15" hidden="false" customHeight="false" outlineLevel="0" collapsed="false">
      <c r="A56" s="12" t="s">
        <v>281</v>
      </c>
      <c r="B56" s="12" t="s">
        <v>242</v>
      </c>
      <c r="C56" s="13" t="s">
        <v>181</v>
      </c>
      <c r="D56" s="14" t="n">
        <v>1.1</v>
      </c>
      <c r="E56" s="14" t="n">
        <v>1.3</v>
      </c>
      <c r="F56" s="14" t="n">
        <f aca="false">D56-E56</f>
        <v>-0.2</v>
      </c>
      <c r="G56" s="15" t="n">
        <v>0.9</v>
      </c>
      <c r="H56" s="15" t="n">
        <v>1.5</v>
      </c>
      <c r="I56" s="15" t="n">
        <f aca="false">G56-H56</f>
        <v>-0.6</v>
      </c>
      <c r="J56" s="16" t="str">
        <f aca="false">IF(C56="?","",IF(C56="N",-1,1)*(I56-F56))</f>
        <v/>
      </c>
    </row>
    <row r="57" customFormat="false" ht="15" hidden="false" customHeight="false" outlineLevel="0" collapsed="false">
      <c r="A57" s="12" t="s">
        <v>281</v>
      </c>
      <c r="B57" s="12" t="s">
        <v>283</v>
      </c>
      <c r="C57" s="13" t="s">
        <v>181</v>
      </c>
      <c r="D57" s="14" t="n">
        <v>1.7</v>
      </c>
      <c r="E57" s="14" t="n">
        <v>1.3</v>
      </c>
      <c r="F57" s="14" t="n">
        <f aca="false">D57-E57</f>
        <v>0.4</v>
      </c>
      <c r="G57" s="15" t="n">
        <v>1.3</v>
      </c>
      <c r="H57" s="15" t="n">
        <v>1.5</v>
      </c>
      <c r="I57" s="15" t="n">
        <f aca="false">G57-H57</f>
        <v>-0.2</v>
      </c>
      <c r="J57" s="16" t="str">
        <f aca="false">IF(C57="?","",IF(C57="N",-1,1)*(I57-F57))</f>
        <v/>
      </c>
    </row>
    <row r="58" customFormat="false" ht="15" hidden="false" customHeight="false" outlineLevel="0" collapsed="false">
      <c r="A58" s="12" t="s">
        <v>281</v>
      </c>
      <c r="B58" s="12" t="s">
        <v>284</v>
      </c>
      <c r="C58" s="13" t="s">
        <v>181</v>
      </c>
      <c r="D58" s="14" t="n">
        <v>1.9</v>
      </c>
      <c r="E58" s="14" t="n">
        <v>1.4</v>
      </c>
      <c r="F58" s="14" t="n">
        <f aca="false">D58-E58</f>
        <v>0.5</v>
      </c>
      <c r="G58" s="15" t="n">
        <v>2.1</v>
      </c>
      <c r="H58" s="15" t="n">
        <v>1.3</v>
      </c>
      <c r="I58" s="15" t="n">
        <f aca="false">G58-H58</f>
        <v>0.8</v>
      </c>
      <c r="J58" s="16" t="str">
        <f aca="false">IF(C58="?","",IF(C58="N",-1,1)*(I58-F58))</f>
        <v/>
      </c>
    </row>
    <row r="59" customFormat="false" ht="15" hidden="false" customHeight="false" outlineLevel="0" collapsed="false">
      <c r="A59" s="12" t="s">
        <v>281</v>
      </c>
      <c r="B59" s="12" t="s">
        <v>285</v>
      </c>
      <c r="C59" s="13" t="s">
        <v>181</v>
      </c>
      <c r="D59" s="14" t="n">
        <v>2.9</v>
      </c>
      <c r="E59" s="14" t="n">
        <v>1.8</v>
      </c>
      <c r="F59" s="14" t="n">
        <f aca="false">D59-E59</f>
        <v>1.1</v>
      </c>
      <c r="G59" s="15" t="n">
        <v>2</v>
      </c>
      <c r="H59" s="15" t="n">
        <v>1.5</v>
      </c>
      <c r="I59" s="15" t="n">
        <f aca="false">G59-H59</f>
        <v>0.5</v>
      </c>
      <c r="J59" s="16" t="str">
        <f aca="false">IF(C59="?","",IF(C59="N",-1,1)*(I59-F59))</f>
        <v/>
      </c>
    </row>
    <row r="60" customFormat="false" ht="15" hidden="false" customHeight="false" outlineLevel="0" collapsed="false">
      <c r="A60" s="12" t="s">
        <v>281</v>
      </c>
      <c r="B60" s="12" t="s">
        <v>286</v>
      </c>
      <c r="C60" s="13" t="s">
        <v>181</v>
      </c>
      <c r="D60" s="14" t="n">
        <v>1.2</v>
      </c>
      <c r="E60" s="14" t="n">
        <v>0.8</v>
      </c>
      <c r="F60" s="14" t="n">
        <f aca="false">D60-E60</f>
        <v>0.4</v>
      </c>
      <c r="G60" s="15" t="n">
        <v>1.2</v>
      </c>
      <c r="H60" s="15" t="n">
        <v>0.5</v>
      </c>
      <c r="I60" s="15" t="n">
        <f aca="false">G60-H60</f>
        <v>0.7</v>
      </c>
      <c r="J60" s="16" t="str">
        <f aca="false">IF(C60="?","",IF(C60="N",-1,1)*(I60-F60))</f>
        <v/>
      </c>
    </row>
    <row r="61" customFormat="false" ht="15" hidden="false" customHeight="false" outlineLevel="0" collapsed="false">
      <c r="A61" s="12" t="s">
        <v>281</v>
      </c>
      <c r="B61" s="12" t="s">
        <v>287</v>
      </c>
      <c r="C61" s="13" t="s">
        <v>181</v>
      </c>
      <c r="D61" s="14" t="n">
        <v>0.6</v>
      </c>
      <c r="E61" s="14" t="n">
        <v>0.8</v>
      </c>
      <c r="F61" s="14" t="n">
        <f aca="false">D61-E61</f>
        <v>-0.2</v>
      </c>
      <c r="G61" s="15" t="n">
        <v>1</v>
      </c>
      <c r="H61" s="15" t="n">
        <v>0.6</v>
      </c>
      <c r="I61" s="15" t="n">
        <f aca="false">G61-H61</f>
        <v>0.4</v>
      </c>
      <c r="J61" s="16" t="str">
        <f aca="false">IF(C61="?","",IF(C61="N",-1,1)*(I61-F61))</f>
        <v/>
      </c>
    </row>
    <row r="62" customFormat="false" ht="15" hidden="false" customHeight="false" outlineLevel="0" collapsed="false">
      <c r="A62" s="12" t="s">
        <v>281</v>
      </c>
      <c r="B62" s="12" t="s">
        <v>288</v>
      </c>
      <c r="C62" s="13" t="s">
        <v>181</v>
      </c>
      <c r="D62" s="14" t="n">
        <v>4</v>
      </c>
      <c r="E62" s="14" t="n">
        <v>3.1</v>
      </c>
      <c r="F62" s="14" t="n">
        <f aca="false">D62-E62</f>
        <v>0.9</v>
      </c>
      <c r="G62" s="15" t="n">
        <v>3.8</v>
      </c>
      <c r="H62" s="15" t="n">
        <v>2.3</v>
      </c>
      <c r="I62" s="15" t="n">
        <f aca="false">G62-H62</f>
        <v>1.5</v>
      </c>
      <c r="J62" s="16" t="str">
        <f aca="false">IF(C62="?","",IF(C62="N",-1,1)*(I62-F62))</f>
        <v/>
      </c>
    </row>
    <row r="63" customFormat="false" ht="15" hidden="false" customHeight="false" outlineLevel="0" collapsed="false">
      <c r="A63" s="12" t="s">
        <v>281</v>
      </c>
      <c r="B63" s="12" t="s">
        <v>289</v>
      </c>
      <c r="C63" s="13" t="s">
        <v>181</v>
      </c>
      <c r="D63" s="14" t="n">
        <v>3.5</v>
      </c>
      <c r="E63" s="14" t="n">
        <v>2.3</v>
      </c>
      <c r="F63" s="14" t="n">
        <f aca="false">D63-E63</f>
        <v>1.2</v>
      </c>
      <c r="G63" s="15" t="n">
        <v>2.9</v>
      </c>
      <c r="H63" s="15" t="n">
        <v>2.8</v>
      </c>
      <c r="I63" s="15" t="n">
        <f aca="false">G63-H63</f>
        <v>0.1</v>
      </c>
      <c r="J63" s="16" t="str">
        <f aca="false">IF(C63="?","",IF(C63="N",-1,1)*(I63-F63))</f>
        <v/>
      </c>
    </row>
    <row r="64" customFormat="false" ht="15" hidden="false" customHeight="false" outlineLevel="0" collapsed="false">
      <c r="A64" s="12" t="s">
        <v>281</v>
      </c>
      <c r="B64" s="12" t="s">
        <v>290</v>
      </c>
      <c r="C64" s="13" t="s">
        <v>181</v>
      </c>
      <c r="D64" s="14" t="n">
        <v>1.2</v>
      </c>
      <c r="E64" s="14" t="n">
        <v>1.3</v>
      </c>
      <c r="F64" s="14" t="n">
        <f aca="false">D64-E64</f>
        <v>-0.1</v>
      </c>
      <c r="G64" s="15" t="n">
        <v>2</v>
      </c>
      <c r="H64" s="15" t="n">
        <v>0.5</v>
      </c>
      <c r="I64" s="15" t="n">
        <f aca="false">G64-H64</f>
        <v>1.5</v>
      </c>
      <c r="J64" s="16" t="str">
        <f aca="false">IF(C64="?","",IF(C64="N",-1,1)*(I64-F64))</f>
        <v/>
      </c>
    </row>
    <row r="65" customFormat="false" ht="15" hidden="false" customHeight="false" outlineLevel="0" collapsed="false">
      <c r="A65" s="12" t="s">
        <v>281</v>
      </c>
      <c r="B65" s="12" t="s">
        <v>291</v>
      </c>
      <c r="C65" s="13" t="s">
        <v>181</v>
      </c>
      <c r="D65" s="14" t="n">
        <v>1.1</v>
      </c>
      <c r="E65" s="14" t="n">
        <v>0.9</v>
      </c>
      <c r="F65" s="14" t="n">
        <f aca="false">D65-E65</f>
        <v>0.2</v>
      </c>
      <c r="G65" s="15" t="n">
        <v>1.7</v>
      </c>
      <c r="H65" s="15" t="n">
        <v>0.7</v>
      </c>
      <c r="I65" s="15" t="n">
        <f aca="false">G65-H65</f>
        <v>1</v>
      </c>
      <c r="J65" s="16" t="str">
        <f aca="false">IF(C65="?","",IF(C65="N",-1,1)*(I65-F65))</f>
        <v/>
      </c>
    </row>
    <row r="66" customFormat="false" ht="15" hidden="false" customHeight="false" outlineLevel="0" collapsed="false">
      <c r="A66" s="12" t="s">
        <v>281</v>
      </c>
      <c r="B66" s="12" t="s">
        <v>292</v>
      </c>
      <c r="C66" s="13" t="s">
        <v>181</v>
      </c>
      <c r="D66" s="14" t="n">
        <v>11.3</v>
      </c>
      <c r="E66" s="14" t="n">
        <v>10.4</v>
      </c>
      <c r="F66" s="14" t="n">
        <f aca="false">D66-E66</f>
        <v>0.9</v>
      </c>
      <c r="G66" s="15" t="n">
        <v>14.4</v>
      </c>
      <c r="H66" s="15" t="n">
        <v>8</v>
      </c>
      <c r="I66" s="15" t="n">
        <f aca="false">G66-H66</f>
        <v>6.4</v>
      </c>
      <c r="J66" s="16" t="str">
        <f aca="false">IF(C66="?","",IF(C66="N",-1,1)*(I66-F66))</f>
        <v/>
      </c>
    </row>
    <row r="67" customFormat="false" ht="15" hidden="false" customHeight="false" outlineLevel="0" collapsed="false">
      <c r="A67" s="12" t="s">
        <v>281</v>
      </c>
      <c r="B67" s="12" t="s">
        <v>293</v>
      </c>
      <c r="C67" s="13" t="s">
        <v>181</v>
      </c>
      <c r="D67" s="14" t="n">
        <v>11.1</v>
      </c>
      <c r="E67" s="14" t="n">
        <v>9.1</v>
      </c>
      <c r="F67" s="14" t="n">
        <f aca="false">D67-E67</f>
        <v>2</v>
      </c>
      <c r="G67" s="15" t="n">
        <v>12.7</v>
      </c>
      <c r="H67" s="15" t="n">
        <v>9</v>
      </c>
      <c r="I67" s="15" t="n">
        <f aca="false">G67-H67</f>
        <v>3.7</v>
      </c>
      <c r="J67" s="16" t="str">
        <f aca="false">IF(C67="?","",IF(C67="N",-1,1)*(I67-F67))</f>
        <v/>
      </c>
    </row>
    <row r="68" customFormat="false" ht="15" hidden="false" customHeight="false" outlineLevel="0" collapsed="false">
      <c r="A68" s="12" t="s">
        <v>281</v>
      </c>
      <c r="B68" s="12" t="s">
        <v>294</v>
      </c>
      <c r="C68" s="13" t="s">
        <v>181</v>
      </c>
      <c r="D68" s="14" t="n">
        <v>0.5</v>
      </c>
      <c r="E68" s="14" t="n">
        <v>0.3</v>
      </c>
      <c r="F68" s="14" t="n">
        <f aca="false">D68-E68</f>
        <v>0.2</v>
      </c>
      <c r="G68" s="15" t="n">
        <v>0.4</v>
      </c>
      <c r="H68" s="15" t="n">
        <v>0.2</v>
      </c>
      <c r="I68" s="15" t="n">
        <f aca="false">G68-H68</f>
        <v>0.2</v>
      </c>
      <c r="J68" s="16" t="str">
        <f aca="false">IF(C68="?","",IF(C68="N",-1,1)*(I68-F68))</f>
        <v/>
      </c>
    </row>
    <row r="69" customFormat="false" ht="15" hidden="false" customHeight="false" outlineLevel="0" collapsed="false">
      <c r="A69" s="12" t="s">
        <v>281</v>
      </c>
      <c r="B69" s="12" t="s">
        <v>295</v>
      </c>
      <c r="C69" s="13" t="s">
        <v>181</v>
      </c>
      <c r="D69" s="14" t="n">
        <v>0.4</v>
      </c>
      <c r="E69" s="14" t="n">
        <v>0.4</v>
      </c>
      <c r="F69" s="14" t="n">
        <f aca="false">D69-E69</f>
        <v>0</v>
      </c>
      <c r="G69" s="15" t="n">
        <v>0.3</v>
      </c>
      <c r="H69" s="15" t="n">
        <v>0.4</v>
      </c>
      <c r="I69" s="15" t="n">
        <f aca="false">G69-H69</f>
        <v>-0.1</v>
      </c>
      <c r="J69" s="16" t="str">
        <f aca="false">IF(C69="?","",IF(C69="N",-1,1)*(I69-F69))</f>
        <v/>
      </c>
    </row>
    <row r="70" customFormat="false" ht="15" hidden="false" customHeight="false" outlineLevel="0" collapsed="false">
      <c r="A70" s="12" t="s">
        <v>281</v>
      </c>
      <c r="B70" s="12" t="s">
        <v>270</v>
      </c>
      <c r="C70" s="13" t="s">
        <v>181</v>
      </c>
      <c r="D70" s="14" t="n">
        <v>6</v>
      </c>
      <c r="E70" s="14" t="n">
        <v>4</v>
      </c>
      <c r="F70" s="14" t="n">
        <f aca="false">D70-E70</f>
        <v>2</v>
      </c>
      <c r="G70" s="15" t="n">
        <v>6.6</v>
      </c>
      <c r="H70" s="15" t="n">
        <v>4</v>
      </c>
      <c r="I70" s="15" t="n">
        <f aca="false">G70-H70</f>
        <v>2.6</v>
      </c>
      <c r="J70" s="16" t="str">
        <f aca="false">IF(C70="?","",IF(C70="N",-1,1)*(I70-F70))</f>
        <v/>
      </c>
    </row>
    <row r="71" customFormat="false" ht="15" hidden="false" customHeight="false" outlineLevel="0" collapsed="false">
      <c r="A71" s="12" t="s">
        <v>281</v>
      </c>
      <c r="B71" s="12" t="s">
        <v>296</v>
      </c>
      <c r="C71" s="13" t="s">
        <v>181</v>
      </c>
      <c r="D71" s="14" t="n">
        <v>3.5</v>
      </c>
      <c r="E71" s="14" t="n">
        <v>1.6</v>
      </c>
      <c r="F71" s="14" t="n">
        <f aca="false">D71-E71</f>
        <v>1.9</v>
      </c>
      <c r="G71" s="15" t="n">
        <v>2.8</v>
      </c>
      <c r="H71" s="15" t="n">
        <v>1.5</v>
      </c>
      <c r="I71" s="15" t="n">
        <f aca="false">G71-H71</f>
        <v>1.3</v>
      </c>
      <c r="J71" s="16" t="str">
        <f aca="false">IF(C71="?","",IF(C71="N",-1,1)*(I71-F71))</f>
        <v/>
      </c>
    </row>
    <row r="72" customFormat="false" ht="15" hidden="false" customHeight="false" outlineLevel="0" collapsed="false">
      <c r="A72" s="12" t="s">
        <v>281</v>
      </c>
      <c r="B72" s="12" t="s">
        <v>297</v>
      </c>
      <c r="C72" s="13" t="s">
        <v>181</v>
      </c>
      <c r="D72" s="14" t="n">
        <v>0.7</v>
      </c>
      <c r="E72" s="14" t="n">
        <v>0.6</v>
      </c>
      <c r="F72" s="14" t="n">
        <f aca="false">D72-E72</f>
        <v>0.1</v>
      </c>
      <c r="G72" s="15" t="n">
        <v>0.8</v>
      </c>
      <c r="H72" s="15" t="n">
        <v>0.4</v>
      </c>
      <c r="I72" s="15" t="n">
        <f aca="false">G72-H72</f>
        <v>0.4</v>
      </c>
      <c r="J72" s="16" t="str">
        <f aca="false">IF(C72="?","",IF(C72="N",-1,1)*(I72-F72))</f>
        <v/>
      </c>
    </row>
    <row r="73" customFormat="false" ht="15" hidden="false" customHeight="false" outlineLevel="0" collapsed="false">
      <c r="A73" s="12" t="s">
        <v>281</v>
      </c>
      <c r="B73" s="12" t="s">
        <v>298</v>
      </c>
      <c r="C73" s="13" t="s">
        <v>181</v>
      </c>
      <c r="D73" s="14" t="n">
        <v>2.5</v>
      </c>
      <c r="E73" s="14" t="n">
        <v>2.4</v>
      </c>
      <c r="F73" s="14" t="n">
        <f aca="false">D73-E73</f>
        <v>0.1</v>
      </c>
      <c r="G73" s="15" t="n">
        <v>3.8</v>
      </c>
      <c r="H73" s="15" t="n">
        <v>2.4</v>
      </c>
      <c r="I73" s="15" t="n">
        <f aca="false">G73-H73</f>
        <v>1.4</v>
      </c>
      <c r="J73" s="16" t="str">
        <f aca="false">IF(C73="?","",IF(C73="N",-1,1)*(I73-F73))</f>
        <v/>
      </c>
    </row>
    <row r="74" customFormat="false" ht="15" hidden="false" customHeight="false" outlineLevel="0" collapsed="false">
      <c r="A74" s="12" t="s">
        <v>281</v>
      </c>
      <c r="B74" s="12" t="s">
        <v>299</v>
      </c>
      <c r="C74" s="13" t="s">
        <v>181</v>
      </c>
      <c r="D74" s="14" t="n">
        <v>3.1</v>
      </c>
      <c r="E74" s="14" t="n">
        <v>2.4</v>
      </c>
      <c r="F74" s="14" t="n">
        <f aca="false">D74-E74</f>
        <v>0.7</v>
      </c>
      <c r="G74" s="15" t="n">
        <v>3.6</v>
      </c>
      <c r="H74" s="15" t="n">
        <v>1.7</v>
      </c>
      <c r="I74" s="15" t="n">
        <f aca="false">G74-H74</f>
        <v>1.9</v>
      </c>
      <c r="J74" s="16" t="str">
        <f aca="false">IF(C74="?","",IF(C74="N",-1,1)*(I74-F74))</f>
        <v/>
      </c>
    </row>
    <row r="75" customFormat="false" ht="15" hidden="false" customHeight="false" outlineLevel="0" collapsed="false">
      <c r="A75" s="12" t="s">
        <v>281</v>
      </c>
      <c r="B75" s="12" t="s">
        <v>300</v>
      </c>
      <c r="C75" s="13" t="s">
        <v>181</v>
      </c>
      <c r="D75" s="14" t="n">
        <v>3.8</v>
      </c>
      <c r="E75" s="14" t="n">
        <v>3</v>
      </c>
      <c r="F75" s="14" t="n">
        <f aca="false">D75-E75</f>
        <v>0.8</v>
      </c>
      <c r="G75" s="15" t="n">
        <v>4.4</v>
      </c>
      <c r="H75" s="15" t="n">
        <v>2.1</v>
      </c>
      <c r="I75" s="15" t="n">
        <f aca="false">G75-H75</f>
        <v>2.3</v>
      </c>
      <c r="J75" s="16" t="str">
        <f aca="false">IF(C75="?","",IF(C75="N",-1,1)*(I75-F75))</f>
        <v/>
      </c>
    </row>
    <row r="76" customFormat="false" ht="15" hidden="false" customHeight="false" outlineLevel="0" collapsed="false">
      <c r="A76" s="12" t="s">
        <v>281</v>
      </c>
      <c r="B76" s="12" t="s">
        <v>301</v>
      </c>
      <c r="C76" s="13" t="s">
        <v>181</v>
      </c>
      <c r="D76" s="14" t="n">
        <v>4.7</v>
      </c>
      <c r="E76" s="14" t="n">
        <v>3.8</v>
      </c>
      <c r="F76" s="14" t="n">
        <f aca="false">D76-E76</f>
        <v>0.9</v>
      </c>
      <c r="G76" s="15" t="n">
        <v>6.6</v>
      </c>
      <c r="H76" s="15" t="n">
        <v>3.3</v>
      </c>
      <c r="I76" s="15" t="n">
        <f aca="false">G76-H76</f>
        <v>3.3</v>
      </c>
      <c r="J76" s="16" t="str">
        <f aca="false">IF(C76="?","",IF(C76="N",-1,1)*(I76-F76))</f>
        <v/>
      </c>
    </row>
    <row r="77" customFormat="false" ht="15" hidden="false" customHeight="false" outlineLevel="0" collapsed="false">
      <c r="A77" s="12" t="s">
        <v>281</v>
      </c>
      <c r="B77" s="12" t="s">
        <v>302</v>
      </c>
      <c r="C77" s="13" t="s">
        <v>181</v>
      </c>
      <c r="D77" s="14" t="n">
        <v>3.8</v>
      </c>
      <c r="E77" s="14" t="n">
        <v>3.3</v>
      </c>
      <c r="F77" s="14" t="n">
        <f aca="false">D77-E77</f>
        <v>0.5</v>
      </c>
      <c r="G77" s="15" t="n">
        <v>5.4</v>
      </c>
      <c r="H77" s="15" t="n">
        <v>3.6</v>
      </c>
      <c r="I77" s="15" t="n">
        <f aca="false">G77-H77</f>
        <v>1.8</v>
      </c>
      <c r="J77" s="16" t="str">
        <f aca="false">IF(C77="?","",IF(C77="N",-1,1)*(I77-F77))</f>
        <v/>
      </c>
    </row>
    <row r="78" customFormat="false" ht="15" hidden="false" customHeight="false" outlineLevel="0" collapsed="false">
      <c r="A78" s="12" t="s">
        <v>281</v>
      </c>
      <c r="B78" s="12" t="s">
        <v>303</v>
      </c>
      <c r="C78" s="13" t="s">
        <v>181</v>
      </c>
      <c r="D78" s="14" t="n">
        <v>7.3</v>
      </c>
      <c r="E78" s="14" t="n">
        <v>7.4</v>
      </c>
      <c r="F78" s="14" t="n">
        <f aca="false">D78-E78</f>
        <v>-0.100000000000001</v>
      </c>
      <c r="G78" s="15" t="n">
        <v>10.7</v>
      </c>
      <c r="H78" s="15" t="n">
        <v>5.7</v>
      </c>
      <c r="I78" s="15" t="n">
        <f aca="false">G78-H78</f>
        <v>5</v>
      </c>
      <c r="J78" s="16" t="str">
        <f aca="false">IF(C78="?","",IF(C78="N",-1,1)*(I78-F78))</f>
        <v/>
      </c>
    </row>
    <row r="79" customFormat="false" ht="15" hidden="false" customHeight="false" outlineLevel="0" collapsed="false">
      <c r="A79" s="12" t="s">
        <v>281</v>
      </c>
      <c r="B79" s="12" t="s">
        <v>304</v>
      </c>
      <c r="C79" s="13" t="s">
        <v>181</v>
      </c>
      <c r="D79" s="14" t="n">
        <v>7.6</v>
      </c>
      <c r="E79" s="14" t="n">
        <v>6.8</v>
      </c>
      <c r="F79" s="14" t="n">
        <f aca="false">D79-E79</f>
        <v>0.8</v>
      </c>
      <c r="G79" s="15" t="n">
        <v>9.8</v>
      </c>
      <c r="H79" s="15" t="n">
        <v>6.2</v>
      </c>
      <c r="I79" s="15" t="n">
        <f aca="false">G79-H79</f>
        <v>3.6</v>
      </c>
      <c r="J79" s="16" t="str">
        <f aca="false">IF(C79="?","",IF(C79="N",-1,1)*(I79-F79))</f>
        <v/>
      </c>
    </row>
    <row r="80" customFormat="false" ht="15" hidden="false" customHeight="false" outlineLevel="0" collapsed="false">
      <c r="A80" s="12" t="s">
        <v>281</v>
      </c>
      <c r="B80" s="12" t="s">
        <v>305</v>
      </c>
      <c r="C80" s="13" t="s">
        <v>181</v>
      </c>
      <c r="D80" s="14" t="n">
        <v>3.9</v>
      </c>
      <c r="E80" s="14" t="n">
        <v>4.1</v>
      </c>
      <c r="F80" s="14" t="n">
        <f aca="false">D80-E80</f>
        <v>-0.2</v>
      </c>
      <c r="G80" s="15" t="n">
        <v>4.9</v>
      </c>
      <c r="H80" s="15" t="n">
        <v>2.8</v>
      </c>
      <c r="I80" s="15" t="n">
        <f aca="false">G80-H80</f>
        <v>2.1</v>
      </c>
      <c r="J80" s="16" t="str">
        <f aca="false">IF(C80="?","",IF(C80="N",-1,1)*(I80-F80))</f>
        <v/>
      </c>
    </row>
    <row r="81" customFormat="false" ht="15" hidden="false" customHeight="false" outlineLevel="0" collapsed="false">
      <c r="A81" s="12" t="s">
        <v>281</v>
      </c>
      <c r="B81" s="12" t="s">
        <v>306</v>
      </c>
      <c r="C81" s="13" t="s">
        <v>181</v>
      </c>
      <c r="D81" s="14" t="n">
        <v>4.5</v>
      </c>
      <c r="E81" s="14" t="n">
        <v>3.4</v>
      </c>
      <c r="F81" s="14" t="n">
        <f aca="false">D81-E81</f>
        <v>1.1</v>
      </c>
      <c r="G81" s="15" t="n">
        <v>4.3</v>
      </c>
      <c r="H81" s="15" t="n">
        <v>3</v>
      </c>
      <c r="I81" s="15" t="n">
        <f aca="false">G81-H81</f>
        <v>1.3</v>
      </c>
      <c r="J81" s="16" t="str">
        <f aca="false">IF(C81="?","",IF(C81="N",-1,1)*(I81-F81))</f>
        <v/>
      </c>
    </row>
    <row r="82" customFormat="false" ht="15" hidden="false" customHeight="false" outlineLevel="0" collapsed="false">
      <c r="A82" s="12" t="s">
        <v>281</v>
      </c>
      <c r="B82" s="12" t="s">
        <v>307</v>
      </c>
      <c r="C82" s="13" t="s">
        <v>181</v>
      </c>
      <c r="D82" s="14" t="n">
        <v>0.8</v>
      </c>
      <c r="E82" s="14" t="n">
        <v>1.8</v>
      </c>
      <c r="F82" s="14" t="n">
        <f aca="false">D82-E82</f>
        <v>-1</v>
      </c>
      <c r="G82" s="15" t="n">
        <v>1.6</v>
      </c>
      <c r="H82" s="15" t="n">
        <v>1</v>
      </c>
      <c r="I82" s="15" t="n">
        <f aca="false">G82-H82</f>
        <v>0.6</v>
      </c>
      <c r="J82" s="16" t="str">
        <f aca="false">IF(C82="?","",IF(C82="N",-1,1)*(I82-F82))</f>
        <v/>
      </c>
    </row>
    <row r="83" customFormat="false" ht="15" hidden="false" customHeight="false" outlineLevel="0" collapsed="false">
      <c r="A83" s="12" t="s">
        <v>281</v>
      </c>
      <c r="B83" s="12" t="s">
        <v>308</v>
      </c>
      <c r="C83" s="13" t="s">
        <v>181</v>
      </c>
      <c r="D83" s="14" t="n">
        <v>1</v>
      </c>
      <c r="E83" s="14" t="n">
        <v>0.8</v>
      </c>
      <c r="F83" s="14" t="n">
        <f aca="false">D83-E83</f>
        <v>0.2</v>
      </c>
      <c r="G83" s="15" t="n">
        <v>1.2</v>
      </c>
      <c r="H83" s="15" t="n">
        <v>1</v>
      </c>
      <c r="I83" s="15" t="n">
        <f aca="false">G83-H83</f>
        <v>0.2</v>
      </c>
      <c r="J83" s="16" t="str">
        <f aca="false">IF(C83="?","",IF(C83="N",-1,1)*(I83-F83))</f>
        <v/>
      </c>
    </row>
    <row r="84" customFormat="false" ht="15" hidden="false" customHeight="false" outlineLevel="0" collapsed="false">
      <c r="A84" s="12" t="s">
        <v>281</v>
      </c>
      <c r="B84" s="12" t="s">
        <v>160</v>
      </c>
      <c r="C84" s="13" t="s">
        <v>181</v>
      </c>
      <c r="D84" s="14" t="n">
        <v>7.1</v>
      </c>
      <c r="E84" s="14" t="n">
        <v>6.4</v>
      </c>
      <c r="F84" s="14" t="n">
        <f aca="false">D84-E84</f>
        <v>0.699999999999999</v>
      </c>
      <c r="G84" s="15" t="n">
        <v>9.5</v>
      </c>
      <c r="H84" s="15" t="n">
        <v>5.4</v>
      </c>
      <c r="I84" s="15" t="n">
        <f aca="false">G84-H84</f>
        <v>4.1</v>
      </c>
      <c r="J84" s="16" t="str">
        <f aca="false">IF(C84="?","",IF(C84="N",-1,1)*(I84-F84))</f>
        <v/>
      </c>
    </row>
    <row r="85" customFormat="false" ht="15" hidden="false" customHeight="false" outlineLevel="0" collapsed="false">
      <c r="A85" s="12" t="s">
        <v>281</v>
      </c>
      <c r="B85" s="12" t="s">
        <v>309</v>
      </c>
      <c r="C85" s="13" t="s">
        <v>181</v>
      </c>
      <c r="D85" s="14" t="n">
        <v>6.6</v>
      </c>
      <c r="E85" s="14" t="n">
        <v>5.5</v>
      </c>
      <c r="F85" s="14" t="n">
        <f aca="false">D85-E85</f>
        <v>1.1</v>
      </c>
      <c r="G85" s="15" t="n">
        <v>8.3</v>
      </c>
      <c r="H85" s="15" t="n">
        <v>5.7</v>
      </c>
      <c r="I85" s="15" t="n">
        <f aca="false">G85-H85</f>
        <v>2.6</v>
      </c>
      <c r="J85" s="16" t="str">
        <f aca="false">IF(C85="?","",IF(C85="N",-1,1)*(I85-F85))</f>
        <v/>
      </c>
    </row>
    <row r="86" customFormat="false" ht="15" hidden="false" customHeight="false" outlineLevel="0" collapsed="false">
      <c r="A86" s="12" t="s">
        <v>241</v>
      </c>
      <c r="B86" s="12" t="s">
        <v>310</v>
      </c>
      <c r="C86" s="13" t="s">
        <v>179</v>
      </c>
      <c r="D86" s="14" t="n">
        <v>47</v>
      </c>
      <c r="E86" s="14" t="n">
        <v>47</v>
      </c>
      <c r="F86" s="14" t="n">
        <f aca="false">D86-E86</f>
        <v>0</v>
      </c>
      <c r="G86" s="15" t="n">
        <v>49</v>
      </c>
      <c r="H86" s="15" t="n">
        <v>41</v>
      </c>
      <c r="I86" s="15" t="n">
        <f aca="false">G86-H86</f>
        <v>8</v>
      </c>
      <c r="J86" s="16" t="n">
        <f aca="false">IF(C86="?","",IF(C86="N",-1,1)*(I86-F86))</f>
        <v>8</v>
      </c>
    </row>
    <row r="87" customFormat="false" ht="15" hidden="false" customHeight="false" outlineLevel="0" collapsed="false">
      <c r="A87" s="12" t="s">
        <v>241</v>
      </c>
      <c r="B87" s="12" t="s">
        <v>311</v>
      </c>
      <c r="C87" s="13" t="s">
        <v>179</v>
      </c>
      <c r="D87" s="14" t="n">
        <v>23.1</v>
      </c>
      <c r="E87" s="14" t="n">
        <v>20.2</v>
      </c>
      <c r="F87" s="14" t="n">
        <f aca="false">D87-E87</f>
        <v>2.9</v>
      </c>
      <c r="G87" s="15" t="n">
        <v>27.8</v>
      </c>
      <c r="H87" s="15" t="n">
        <v>17.6</v>
      </c>
      <c r="I87" s="15" t="n">
        <f aca="false">G87-H87</f>
        <v>10.2</v>
      </c>
      <c r="J87" s="16" t="n">
        <f aca="false">IF(C87="?","",IF(C87="N",-1,1)*(I87-F87))</f>
        <v>7.3</v>
      </c>
    </row>
    <row r="88" customFormat="false" ht="15" hidden="false" customHeight="false" outlineLevel="0" collapsed="false">
      <c r="A88" s="12" t="s">
        <v>241</v>
      </c>
      <c r="B88" s="12" t="s">
        <v>148</v>
      </c>
      <c r="C88" s="13" t="s">
        <v>179</v>
      </c>
      <c r="D88" s="14" t="n">
        <v>3.2</v>
      </c>
      <c r="E88" s="14" t="n">
        <v>4.7</v>
      </c>
      <c r="F88" s="14" t="n">
        <f aca="false">D88-E88</f>
        <v>-1.5</v>
      </c>
      <c r="G88" s="15" t="n">
        <v>6</v>
      </c>
      <c r="H88" s="15" t="n">
        <v>4.4</v>
      </c>
      <c r="I88" s="15" t="n">
        <f aca="false">G88-H88</f>
        <v>1.6</v>
      </c>
      <c r="J88" s="16" t="n">
        <f aca="false">IF(C88="?","",IF(C88="N",-1,1)*(I88-F88))</f>
        <v>3.1</v>
      </c>
    </row>
    <row r="89" customFormat="false" ht="15" hidden="false" customHeight="false" outlineLevel="0" collapsed="false">
      <c r="A89" s="12" t="s">
        <v>241</v>
      </c>
      <c r="B89" s="12" t="s">
        <v>150</v>
      </c>
      <c r="C89" s="13" t="s">
        <v>179</v>
      </c>
      <c r="D89" s="14" t="n">
        <v>13.7</v>
      </c>
      <c r="E89" s="14" t="n">
        <v>16.9</v>
      </c>
      <c r="F89" s="14" t="n">
        <f aca="false">D89-E89</f>
        <v>-3.2</v>
      </c>
      <c r="G89" s="15" t="n">
        <v>19.4</v>
      </c>
      <c r="H89" s="15" t="n">
        <v>19</v>
      </c>
      <c r="I89" s="15" t="n">
        <f aca="false">G89-H89</f>
        <v>0.399999999999999</v>
      </c>
      <c r="J89" s="16" t="n">
        <f aca="false">IF(C89="?","",IF(C89="N",-1,1)*(I89-F89))</f>
        <v>3.6</v>
      </c>
    </row>
    <row r="90" customFormat="false" ht="15" hidden="false" customHeight="false" outlineLevel="0" collapsed="false">
      <c r="A90" s="12" t="s">
        <v>241</v>
      </c>
      <c r="B90" s="12" t="s">
        <v>152</v>
      </c>
      <c r="C90" s="13" t="s">
        <v>179</v>
      </c>
      <c r="D90" s="14" t="n">
        <v>55.2</v>
      </c>
      <c r="E90" s="14" t="n">
        <v>65.7</v>
      </c>
      <c r="F90" s="14" t="n">
        <f aca="false">D90-E90</f>
        <v>-10.5</v>
      </c>
      <c r="G90" s="15" t="n">
        <v>66</v>
      </c>
      <c r="H90" s="15" t="n">
        <v>56.6</v>
      </c>
      <c r="I90" s="15" t="n">
        <f aca="false">G90-H90</f>
        <v>9.4</v>
      </c>
      <c r="J90" s="16" t="n">
        <f aca="false">IF(C90="?","",IF(C90="N",-1,1)*(I90-F90))</f>
        <v>19.9</v>
      </c>
    </row>
    <row r="91" customFormat="false" ht="15" hidden="false" customHeight="false" outlineLevel="0" collapsed="false">
      <c r="A91" s="12" t="s">
        <v>241</v>
      </c>
      <c r="B91" s="12" t="s">
        <v>312</v>
      </c>
      <c r="C91" s="13" t="s">
        <v>179</v>
      </c>
      <c r="D91" s="14" t="n">
        <v>10.6</v>
      </c>
      <c r="E91" s="14" t="n">
        <v>14.8</v>
      </c>
      <c r="F91" s="14" t="n">
        <f aca="false">D91-E91</f>
        <v>-4.2</v>
      </c>
      <c r="G91" s="15" t="n">
        <v>11.6</v>
      </c>
      <c r="H91" s="15" t="n">
        <v>13.4</v>
      </c>
      <c r="I91" s="15" t="n">
        <f aca="false">G91-H91</f>
        <v>-1.8</v>
      </c>
      <c r="J91" s="16" t="n">
        <f aca="false">IF(C91="?","",IF(C91="N",-1,1)*(I91-F91))</f>
        <v>2.4</v>
      </c>
    </row>
    <row r="92" customFormat="false" ht="15" hidden="false" customHeight="false" outlineLevel="0" collapsed="false">
      <c r="A92" s="12" t="s">
        <v>241</v>
      </c>
      <c r="B92" s="12" t="s">
        <v>313</v>
      </c>
      <c r="C92" s="13" t="s">
        <v>179</v>
      </c>
      <c r="D92" s="14" t="n">
        <v>43.3</v>
      </c>
      <c r="E92" s="14" t="n">
        <v>49.6</v>
      </c>
      <c r="F92" s="14" t="n">
        <f aca="false">D92-E92</f>
        <v>-6.3</v>
      </c>
      <c r="G92" s="15" t="n">
        <v>51.1</v>
      </c>
      <c r="H92" s="15" t="n">
        <v>42</v>
      </c>
      <c r="I92" s="15" t="n">
        <f aca="false">G92-H92</f>
        <v>9.1</v>
      </c>
      <c r="J92" s="16" t="n">
        <f aca="false">IF(C92="?","",IF(C92="N",-1,1)*(I92-F92))</f>
        <v>15.4</v>
      </c>
    </row>
    <row r="93" customFormat="false" ht="15" hidden="false" customHeight="false" outlineLevel="0" collapsed="false">
      <c r="A93" s="12" t="s">
        <v>241</v>
      </c>
      <c r="B93" s="12" t="s">
        <v>314</v>
      </c>
      <c r="C93" s="13" t="s">
        <v>179</v>
      </c>
      <c r="D93" s="14" t="n">
        <v>10.2</v>
      </c>
      <c r="E93" s="14" t="n">
        <v>10.5</v>
      </c>
      <c r="F93" s="14" t="n">
        <f aca="false">D93-E93</f>
        <v>-0.300000000000001</v>
      </c>
      <c r="G93" s="15" t="n">
        <v>11.5</v>
      </c>
      <c r="H93" s="15" t="n">
        <v>8</v>
      </c>
      <c r="I93" s="15" t="n">
        <f aca="false">G93-H93</f>
        <v>3.5</v>
      </c>
      <c r="J93" s="16" t="n">
        <f aca="false">IF(C93="?","",IF(C93="N",-1,1)*(I93-F93))</f>
        <v>3.8</v>
      </c>
    </row>
    <row r="94" customFormat="false" ht="15" hidden="false" customHeight="false" outlineLevel="0" collapsed="false">
      <c r="A94" s="12" t="s">
        <v>241</v>
      </c>
      <c r="B94" s="12" t="s">
        <v>315</v>
      </c>
      <c r="C94" s="13" t="s">
        <v>179</v>
      </c>
      <c r="D94" s="14" t="n">
        <v>34.3</v>
      </c>
      <c r="E94" s="14" t="n">
        <v>40.4</v>
      </c>
      <c r="F94" s="14" t="n">
        <f aca="false">D94-E94</f>
        <v>-6.1</v>
      </c>
      <c r="G94" s="15" t="n">
        <v>42.9</v>
      </c>
      <c r="H94" s="15" t="n">
        <v>35.3</v>
      </c>
      <c r="I94" s="15" t="n">
        <f aca="false">G94-H94</f>
        <v>7.6</v>
      </c>
      <c r="J94" s="16" t="n">
        <f aca="false">IF(C94="?","",IF(C94="N",-1,1)*(I94-F94))</f>
        <v>13.7</v>
      </c>
    </row>
    <row r="95" customFormat="false" ht="15" hidden="false" customHeight="false" outlineLevel="0" collapsed="false">
      <c r="A95" s="12" t="s">
        <v>241</v>
      </c>
      <c r="B95" s="12" t="s">
        <v>316</v>
      </c>
      <c r="C95" s="13" t="s">
        <v>179</v>
      </c>
      <c r="D95" s="14" t="n">
        <v>11.7</v>
      </c>
      <c r="E95" s="14" t="n">
        <v>12.2</v>
      </c>
      <c r="F95" s="14" t="n">
        <f aca="false">D95-E95</f>
        <v>-0.5</v>
      </c>
      <c r="G95" s="15" t="n">
        <v>12.8</v>
      </c>
      <c r="H95" s="15" t="n">
        <v>13.8</v>
      </c>
      <c r="I95" s="15" t="n">
        <f aca="false">G95-H95</f>
        <v>-1</v>
      </c>
      <c r="J95" s="16" t="n">
        <f aca="false">IF(C95="?","",IF(C95="N",-1,1)*(I95-F95))</f>
        <v>-0.5</v>
      </c>
    </row>
    <row r="96" customFormat="false" ht="15" hidden="false" customHeight="false" outlineLevel="0" collapsed="false">
      <c r="A96" s="12" t="s">
        <v>241</v>
      </c>
      <c r="B96" s="12" t="s">
        <v>160</v>
      </c>
      <c r="C96" s="13" t="s">
        <v>180</v>
      </c>
      <c r="D96" s="14" t="n">
        <v>68.6</v>
      </c>
      <c r="E96" s="14" t="n">
        <v>71.6</v>
      </c>
      <c r="F96" s="14" t="n">
        <f aca="false">D96-E96</f>
        <v>-3</v>
      </c>
      <c r="G96" s="15" t="n">
        <v>75.3</v>
      </c>
      <c r="H96" s="15" t="n">
        <v>79.5</v>
      </c>
      <c r="I96" s="15" t="n">
        <f aca="false">G96-H96</f>
        <v>-4.2</v>
      </c>
      <c r="J96" s="16" t="n">
        <f aca="false">IF(C96="?","",IF(C96="N",-1,1)*(I96-F96))</f>
        <v>1.2</v>
      </c>
    </row>
  </sheetData>
  <autoFilter ref="A4:J96"/>
  <conditionalFormatting sqref="J5:J96">
    <cfRule type="colorScale" priority="2">
      <colorScale>
        <cfvo type="num" val="-10"/>
        <cfvo type="num" val="0"/>
        <cfvo type="num" val="10"/>
        <color rgb="FFCFE2F8"/>
        <color rgb="FFFFFFFF"/>
        <color rgb="FFF4B183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2026-09-25T05:53:23Z</dcterms:created>
  <dc:creator>openpyxl</dc:creator>
  <dc:description/>
  <dc:language>en-US</dc:language>
  <cp:lastModifiedBy/>
  <dcterms:modified xsi:type="dcterms:W3CDTF">2026-09-25T05:53:24Z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